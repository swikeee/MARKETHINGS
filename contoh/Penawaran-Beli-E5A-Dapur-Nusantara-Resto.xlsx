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awaran" sheetId="1" r:id="rId1"/>
  </sheets>
  <calcPr calcId="191029" fullCalcOnLoad="1"/>
</workbook>
</file>

<file path=xl/styles.xml><?xml version="1.0" encoding="utf-8"?>
<styleSheet xmlns="http://schemas.openxmlformats.org/spreadsheetml/2006/main">
  <numFmts count="7">
    <numFmt numFmtId="164" formatCode="dd mmm yyyy"/>
    <numFmt numFmtId="165" formatCode="#,##0.## &quot;m²&quot;"/>
    <numFmt numFmtId="166" formatCode="#,##0.## &quot;m&quot;"/>
    <numFmt numFmtId="167" formatCode="#,##0.0#"/>
    <numFmt numFmtId="168" formatCode="&quot;Rp&quot; #,##0"/>
    <numFmt numFmtId="169" formatCode="0.0%"/>
    <numFmt numFmtId="170" formatCode="0 &quot;kali&quot;"/>
  </numFmts>
  <fonts count="11">
    <font>
      <sz val="10"/>
      <color rgb="FF1F2937"/>
      <name val="Calibri"/>
      <family val="2"/>
    </font>
    <font>
      <b/>
      <sz val="16"/>
      <color rgb="FF0F766E"/>
      <name val="Calibri"/>
      <family val="2"/>
    </font>
    <font>
      <sz val="10"/>
      <color rgb="FF6B7280"/>
      <name val="Calibri"/>
      <family val="2"/>
    </font>
    <font>
      <b/>
      <sz val="13"/>
      <color rgb="FF1F2937"/>
      <name val="Calibri"/>
      <family val="2"/>
    </font>
    <font>
      <b/>
      <sz val="10"/>
      <color rgb="FF0F766E"/>
      <name val="Calibri"/>
      <family val="2"/>
    </font>
    <font>
      <sz val="10"/>
      <color rgb="FF4B5563"/>
      <name val="Calibri"/>
      <family val="2"/>
    </font>
    <font>
      <b/>
      <sz val="10"/>
      <color rgb="FF1F2937"/>
      <name val="Calibri"/>
      <family val="2"/>
    </font>
    <font>
      <i/>
      <sz val="9"/>
      <color rgb="FF6B7280"/>
      <name val="Calibri"/>
      <family val="2"/>
    </font>
    <font>
      <b/>
      <sz val="11"/>
      <color rgb="FF1F2937"/>
      <name val="Calibri"/>
      <family val="2"/>
    </font>
    <font>
      <sz val="9"/>
      <color rgb="FF6B7280"/>
      <name val="Calibri"/>
      <family val="2"/>
    </font>
    <font>
      <b/>
      <sz val="9"/>
      <color rgb="FF4B556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F4F1"/>
        <bgColor indexed="64"/>
      </patternFill>
    </fill>
    <fill>
      <patternFill patternType="solid">
        <fgColor rgb="FFFFF4C2"/>
        <bgColor indexed="64"/>
      </patternFill>
    </fill>
    <fill>
      <patternFill patternType="solid">
        <fgColor rgb="FFF3F4F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F766E"/>
      </bottom>
      <diagonal/>
    </border>
    <border>
      <left/>
      <right/>
      <top/>
      <bottom style="thin">
        <color rgb="FF0F766E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32">
    <xf numFmtId="0" fontId="0" fillId="0" borderId="0" xfId="0" applyNumberFormat="1" applyFont="1" applyFill="1" applyBorder="1" applyAlignment="1">
      <alignment horizontal="general" vertical="center"/>
    </xf>
    <xf numFmtId="0" fontId="1" fillId="0" borderId="0" xfId="0" applyNumberFormat="1" applyFont="1" applyFill="1" applyBorder="1" applyAlignment="1">
      <alignment horizontal="general" vertical="center"/>
    </xf>
    <xf numFmtId="0" fontId="2" fillId="0" borderId="0" xfId="0" applyNumberFormat="1" applyFont="1" applyFill="1" applyBorder="1" applyAlignment="1">
      <alignment horizontal="general" vertical="center"/>
    </xf>
    <xf numFmtId="0" fontId="0" fillId="0" borderId="1" xfId="0" applyNumberFormat="1" applyFont="1" applyFill="1" applyBorder="1" applyAlignment="1">
      <alignment horizontal="general" vertical="center"/>
    </xf>
    <xf numFmtId="0" fontId="3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general" vertical="center"/>
    </xf>
    <xf numFmtId="0" fontId="5" fillId="0" borderId="0" xfId="0" applyNumberFormat="1" applyFont="1" applyFill="1" applyBorder="1" applyAlignment="1">
      <alignment horizontal="general" vertical="center"/>
    </xf>
    <xf numFmtId="0" fontId="6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general" vertical="center" wrapText="1"/>
    </xf>
    <xf numFmtId="164" fontId="6" fillId="0" borderId="0" xfId="0" applyNumberFormat="1" applyFont="1" applyFill="1" applyBorder="1" applyAlignment="1">
      <alignment horizontal="left" vertical="center"/>
    </xf>
    <xf numFmtId="165" fontId="6" fillId="0" borderId="0" xfId="0" applyNumberFormat="1" applyFont="1" applyFill="1" applyBorder="1" applyAlignment="1">
      <alignment horizontal="left" vertical="center"/>
    </xf>
    <xf numFmtId="166" fontId="6" fillId="0" borderId="0" xfId="0" applyNumberFormat="1" applyFont="1" applyFill="1" applyBorder="1" applyAlignment="1">
      <alignment horizontal="left" vertical="center"/>
    </xf>
    <xf numFmtId="9" fontId="6" fillId="0" borderId="0" xfId="0" applyNumberFormat="1" applyFont="1" applyFill="1" applyBorder="1" applyAlignment="1">
      <alignment horizontal="left" vertical="center"/>
    </xf>
    <xf numFmtId="167" fontId="6" fillId="0" borderId="0" xfId="0" applyNumberFormat="1" applyFont="1" applyFill="1" applyBorder="1" applyAlignment="1">
      <alignment horizontal="left" vertical="center"/>
    </xf>
    <xf numFmtId="168" fontId="6" fillId="0" borderId="0" xfId="0" applyNumberFormat="1" applyFont="1" applyFill="1" applyBorder="1" applyAlignment="1">
      <alignment horizontal="left" vertical="center"/>
    </xf>
    <xf numFmtId="168" fontId="6" fillId="3" borderId="3" xfId="0" applyNumberFormat="1" applyFont="1" applyFill="1" applyBorder="1" applyAlignment="1">
      <alignment horizontal="left" vertical="center"/>
    </xf>
    <xf numFmtId="169" fontId="6" fillId="0" borderId="0" xfId="0" applyNumberFormat="1" applyFont="1" applyFill="1" applyBorder="1" applyAlignment="1">
      <alignment horizontal="left" vertical="center"/>
    </xf>
    <xf numFmtId="168" fontId="8" fillId="0" borderId="0" xfId="0" applyNumberFormat="1" applyFont="1" applyFill="1" applyBorder="1" applyAlignment="1">
      <alignment horizontal="left" vertical="center"/>
    </xf>
    <xf numFmtId="0" fontId="6" fillId="4" borderId="4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general" vertical="center" wrapText="1"/>
    </xf>
    <xf numFmtId="168" fontId="0" fillId="3" borderId="4" xfId="0" applyNumberFormat="1" applyFont="1" applyFill="1" applyBorder="1" applyAlignment="1">
      <alignment horizontal="right" vertical="center"/>
    </xf>
    <xf numFmtId="0" fontId="9" fillId="0" borderId="4" xfId="0" applyNumberFormat="1" applyFont="1" applyFill="1" applyBorder="1" applyAlignment="1">
      <alignment horizontal="general" vertical="center" wrapText="1"/>
    </xf>
    <xf numFmtId="9" fontId="0" fillId="3" borderId="4" xfId="0" applyNumberFormat="1" applyFont="1" applyFill="1" applyBorder="1" applyAlignment="1">
      <alignment horizontal="center" vertical="center"/>
    </xf>
    <xf numFmtId="168" fontId="0" fillId="0" borderId="4" xfId="0" applyNumberFormat="1" applyFont="1" applyFill="1" applyBorder="1" applyAlignment="1">
      <alignment horizontal="right" vertical="center"/>
    </xf>
    <xf numFmtId="9" fontId="0" fillId="0" borderId="4" xfId="0" applyNumberFormat="1" applyFont="1" applyFill="1" applyBorder="1" applyAlignment="1">
      <alignment horizontal="center" vertical="center"/>
    </xf>
    <xf numFmtId="170" fontId="0" fillId="0" borderId="4" xfId="0" applyNumberFormat="1" applyFont="1" applyFill="1" applyBorder="1" applyAlignment="1">
      <alignment horizontal="right" vertical="center"/>
    </xf>
    <xf numFmtId="168" fontId="6" fillId="0" borderId="4" xfId="0" applyNumberFormat="1" applyFont="1" applyFill="1" applyBorder="1" applyAlignment="1">
      <alignment horizontal="right" vertical="center"/>
    </xf>
    <xf numFmtId="0" fontId="6" fillId="4" borderId="4" xfId="0" applyNumberFormat="1" applyFont="1" applyFill="1" applyBorder="1" applyAlignment="1">
      <alignment horizontal="general" vertical="center"/>
    </xf>
    <xf numFmtId="168" fontId="6" fillId="4" borderId="4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general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6"/>
  <cols>
    <col min="1" max="1" width="5" customWidth="1"/>
    <col min="2" max="2" width="26" customWidth="1"/>
    <col min="3" max="3" width="40" customWidth="1"/>
    <col min="4" max="4" width="9" customWidth="1"/>
    <col min="5" max="5" width="20" customWidth="1"/>
    <col min="6" max="6" width="22" customWidth="1"/>
  </cols>
  <sheetData>
    <row r="1" ht="26" customHeight="1">
      <c r="A1" s="1" t="inlineStr">
        <is>
          <t xml:space="preserve">PORORO LAND BANDUNG</t>
        </is>
      </c>
      <c r="B1" s="1"/>
      <c r="C1" s="1"/>
      <c r="D1" s="1"/>
      <c r="E1" s="1"/>
      <c r="F1" s="1"/>
    </row>
    <row r="2" ht="16" customHeight="1">
      <c r="A2" s="2" t="inlineStr">
        <is>
          <t xml:space="preserve">Kavling Komersial</t>
        </is>
      </c>
      <c r="B2" s="2"/>
      <c r="C2" s="2"/>
      <c r="D2" s="2"/>
      <c r="E2" s="2"/>
      <c r="F2" s="2"/>
    </row>
    <row r="3" ht="6" customHeight="1">
      <c r="A3" s="3"/>
      <c r="B3" s="3"/>
      <c r="C3" s="3"/>
      <c r="D3" s="3"/>
      <c r="E3" s="3"/>
      <c r="F3" s="3"/>
    </row>
    <row r="4" ht="8" customHeight="1"/>
    <row r="5" ht="22" customHeight="1">
      <c r="A5" s="4" t="inlineStr">
        <is>
          <t xml:space="preserve">PERHITUNGAN PENAWARAN PEMBELIAN KAVLING KOMERSIAL</t>
        </is>
      </c>
      <c r="B5" s="4"/>
      <c r="C5" s="4"/>
      <c r="D5" s="4"/>
      <c r="E5" s="4"/>
      <c r="F5" s="4"/>
    </row>
    <row r="6" ht="16" customHeight="1">
      <c r="A6" s="5" t="inlineStr">
        <is>
          <t xml:space="preserve">Kavling E5A · Dapur Nusantara Resto</t>
        </is>
      </c>
      <c r="B6" s="5"/>
      <c r="C6" s="5"/>
      <c r="D6" s="5"/>
      <c r="E6" s="5"/>
      <c r="F6" s="5"/>
    </row>
    <row r="7" ht="8" customHeight="1"/>
    <row r="8" ht="20" customHeight="1">
      <c r="A8" s="6" t="inlineStr">
        <is>
          <t xml:space="preserve">A. DATA PENAWARAN</t>
        </is>
      </c>
      <c r="B8" s="6"/>
      <c r="C8" s="6"/>
      <c r="D8" s="6"/>
      <c r="E8" s="6"/>
      <c r="F8" s="6"/>
    </row>
    <row r="9">
      <c r="A9" s="7" t="inlineStr">
        <is>
          <t xml:space="preserve">Nama tenant / brand</t>
        </is>
      </c>
      <c r="B9" s="7"/>
      <c r="C9" s="8" t="inlineStr">
        <is>
          <t xml:space="preserve">Dapur Nusantara Resto</t>
        </is>
      </c>
      <c r="D9" s="9"/>
      <c r="E9" s="9"/>
      <c r="F9" s="9"/>
    </row>
    <row r="10">
      <c r="A10" s="7" t="inlineStr">
        <is>
          <t xml:space="preserve">Rencana usaha</t>
        </is>
      </c>
      <c r="B10" s="7"/>
      <c r="C10" s="8" t="inlineStr">
        <is>
          <t xml:space="preserve">Restoran keluarga</t>
        </is>
      </c>
      <c r="D10" s="9"/>
      <c r="E10" s="9"/>
      <c r="F10" s="9"/>
    </row>
    <row r="11">
      <c r="A11" s="7" t="inlineStr">
        <is>
          <t xml:space="preserve">PIC / kontak</t>
        </is>
      </c>
      <c r="B11" s="7"/>
      <c r="C11" s="8" t="inlineStr">
        <is>
          <t xml:space="preserve">–</t>
        </is>
      </c>
      <c r="D11" s="9"/>
      <c r="E11" s="9"/>
      <c r="F11" s="9"/>
    </row>
    <row r="12">
      <c r="A12" s="7" t="inlineStr">
        <is>
          <t xml:space="preserve">Jenis penawaran</t>
        </is>
      </c>
      <c r="B12" s="7"/>
      <c r="C12" s="8" t="inlineStr">
        <is>
          <t xml:space="preserve">Beli</t>
        </is>
      </c>
      <c r="D12" s="9"/>
      <c r="E12" s="9"/>
      <c r="F12" s="9"/>
    </row>
    <row r="13">
      <c r="A13" s="7" t="inlineStr">
        <is>
          <t xml:space="preserve">Tanggal penawaran</t>
        </is>
      </c>
      <c r="B13" s="7"/>
      <c r="C13" s="10">
        <v>46285</v>
      </c>
      <c r="D13" s="9"/>
      <c r="E13" s="9"/>
      <c r="F13" s="9"/>
    </row>
    <row r="14">
      <c r="A14" s="7" t="inlineStr">
        <is>
          <t xml:space="preserve">Status</t>
        </is>
      </c>
      <c r="B14" s="7"/>
      <c r="C14" s="8" t="inlineStr">
        <is>
          <t xml:space="preserve">Baru</t>
        </is>
      </c>
      <c r="D14" s="9"/>
      <c r="E14" s="9"/>
      <c r="F14" s="9"/>
    </row>
    <row r="15">
      <c r="A15" s="7" t="inlineStr">
        <is>
          <t xml:space="preserve">Catatan</t>
        </is>
      </c>
      <c r="B15" s="7"/>
      <c r="C15" s="8" t="inlineStr">
        <is>
          <t xml:space="preserve">Minta angsuran 36x</t>
        </is>
      </c>
      <c r="D15" s="9"/>
      <c r="E15" s="9"/>
      <c r="F15" s="9"/>
    </row>
    <row r="16" ht="8" customHeight="1"/>
    <row r="17" ht="20" customHeight="1">
      <c r="A17" s="6" t="inlineStr">
        <is>
          <t xml:space="preserve">B. DATA KAVLING</t>
        </is>
      </c>
      <c r="B17" s="6"/>
      <c r="C17" s="6"/>
      <c r="D17" s="6"/>
      <c r="E17" s="6"/>
      <c r="F17" s="6"/>
    </row>
    <row r="18">
      <c r="A18" s="7" t="inlineStr">
        <is>
          <t xml:space="preserve">Kode kavling</t>
        </is>
      </c>
      <c r="B18" s="7"/>
      <c r="C18" s="8" t="inlineStr">
        <is>
          <t xml:space="preserve">E5A</t>
        </is>
      </c>
      <c r="D18" s="9"/>
      <c r="E18" s="9"/>
      <c r="F18" s="9"/>
    </row>
    <row r="19">
      <c r="A19" s="7" t="inlineStr">
        <is>
          <t xml:space="preserve">Zona</t>
        </is>
      </c>
      <c r="B19" s="7"/>
      <c r="C19" s="8" t="inlineStr">
        <is>
          <t xml:space="preserve">Zona E · Boulevard</t>
        </is>
      </c>
      <c r="D19" s="9"/>
      <c r="E19" s="9"/>
      <c r="F19" s="9"/>
    </row>
    <row r="20">
      <c r="A20" s="7" t="inlineStr">
        <is>
          <t xml:space="preserve">Peruntukan</t>
        </is>
      </c>
      <c r="B20" s="7"/>
      <c r="C20" s="8" t="inlineStr">
        <is>
          <t xml:space="preserve">F&amp;B / kafe</t>
        </is>
      </c>
      <c r="D20" s="9"/>
      <c r="E20" s="9"/>
      <c r="F20" s="9"/>
    </row>
    <row r="21">
      <c r="A21" s="7" t="inlineStr">
        <is>
          <t xml:space="preserve">Status kavling</t>
        </is>
      </c>
      <c r="B21" s="7"/>
      <c r="C21" s="8" t="inlineStr">
        <is>
          <t xml:space="preserve">Available</t>
        </is>
      </c>
      <c r="D21" s="9"/>
      <c r="E21" s="9"/>
      <c r="F21" s="9"/>
    </row>
    <row r="22">
      <c r="A22" s="7" t="inlineStr">
        <is>
          <t xml:space="preserve">Luas lahan</t>
        </is>
      </c>
      <c r="B22" s="7"/>
      <c r="C22" s="11">
        <v>650</v>
      </c>
      <c r="D22" s="9"/>
      <c r="E22" s="9"/>
      <c r="F22" s="9"/>
    </row>
    <row r="23">
      <c r="A23" s="7" t="inlineStr">
        <is>
          <t xml:space="preserve">Frontage (lebar muka)</t>
        </is>
      </c>
      <c r="B23" s="7"/>
      <c r="C23" s="12">
        <v>26</v>
      </c>
      <c r="D23" s="9"/>
      <c r="E23" s="9"/>
      <c r="F23" s="9"/>
    </row>
    <row r="24">
      <c r="A24" s="7" t="inlineStr">
        <is>
          <t xml:space="preserve">Dimensi</t>
        </is>
      </c>
      <c r="B24" s="7"/>
      <c r="C24" s="8" t="inlineStr">
        <is>
          <t xml:space="preserve">26 × 25 m</t>
        </is>
      </c>
      <c r="D24" s="9"/>
      <c r="E24" s="9"/>
      <c r="F24" s="9"/>
    </row>
    <row r="25">
      <c r="A25" s="7" t="inlineStr">
        <is>
          <t xml:space="preserve">KDB maksimal</t>
        </is>
      </c>
      <c r="B25" s="7"/>
      <c r="C25" s="13">
        <v>0.7</v>
      </c>
      <c r="D25" s="9" t="inlineStr">
        <is>
          <t xml:space="preserve">luas tapak bangunan terhadap luas lahan</t>
        </is>
      </c>
      <c r="E25" s="9"/>
      <c r="F25" s="9"/>
    </row>
    <row r="26">
      <c r="A26" s="7" t="inlineStr">
        <is>
          <t xml:space="preserve">KLB maksimal</t>
        </is>
      </c>
      <c r="B26" s="7"/>
      <c r="C26" s="14">
        <v>3.2</v>
      </c>
      <c r="D26" s="9"/>
      <c r="E26" s="9"/>
      <c r="F26" s="9"/>
    </row>
    <row r="27">
      <c r="A27" s="7" t="inlineStr">
        <is>
          <t xml:space="preserve">Luas bangunan maksimal</t>
        </is>
      </c>
      <c r="B27" s="7"/>
      <c r="C27" s="11">
        <f>C22*C26</f>
        <v>2080</v>
      </c>
      <c r="D27" s="9" t="inlineStr">
        <is>
          <t xml:space="preserve">luas lahan × KLB</t>
        </is>
      </c>
      <c r="E27" s="9"/>
      <c r="F27" s="9"/>
    </row>
    <row r="28">
      <c r="A28" s="7" t="inlineStr">
        <is>
          <t xml:space="preserve">Garis sempadan</t>
        </is>
      </c>
      <c r="B28" s="7"/>
      <c r="C28" s="8" t="inlineStr">
        <is>
          <t xml:space="preserve">depan 10 m · samping 4 m · belakang 4 m</t>
        </is>
      </c>
      <c r="D28" s="9"/>
      <c r="E28" s="9"/>
      <c r="F28" s="9"/>
    </row>
    <row r="29" ht="8" customHeight="1"/>
    <row r="30" ht="20" customHeight="1">
      <c r="A30" s="6" t="inlineStr">
        <is>
          <t xml:space="preserve">C. HARGA JUAL (belum termasuk PPN)</t>
        </is>
      </c>
      <c r="B30" s="6"/>
      <c r="C30" s="6"/>
      <c r="D30" s="6"/>
      <c r="E30" s="6"/>
      <c r="F30" s="6"/>
    </row>
    <row r="31">
      <c r="A31" s="7" t="inlineStr">
        <is>
          <t xml:space="preserve">Harga jual standar / m²</t>
        </is>
      </c>
      <c r="B31" s="7"/>
      <c r="C31" s="15">
        <v>12000000</v>
      </c>
      <c r="D31" s="9"/>
      <c r="E31" s="9"/>
      <c r="F31" s="9"/>
    </row>
    <row r="32">
      <c r="A32" s="7" t="inlineStr">
        <is>
          <t xml:space="preserve">Harga ditawar / m²</t>
        </is>
      </c>
      <c r="B32" s="7"/>
      <c r="C32" s="16">
        <v>11000000</v>
      </c>
      <c r="D32" s="9" t="inlineStr">
        <is>
          <t xml:space="preserve">bisa diubah</t>
        </is>
      </c>
      <c r="E32" s="9"/>
      <c r="F32" s="9"/>
    </row>
    <row r="33">
      <c r="A33" s="7" t="inlineStr">
        <is>
          <t xml:space="preserve">Selisih terhadap standar</t>
        </is>
      </c>
      <c r="B33" s="7"/>
      <c r="C33" s="17">
        <f>IF($C$31=0,0,($C$32-$C$31)/$C$31)</f>
        <v>-0.08333333333333333</v>
      </c>
      <c r="D33" s="9"/>
      <c r="E33" s="9"/>
      <c r="F33" s="9"/>
    </row>
    <row r="34">
      <c r="A34" s="7" t="inlineStr">
        <is>
          <t xml:space="preserve">Total harga lahan</t>
        </is>
      </c>
      <c r="B34" s="7"/>
      <c r="C34" s="18">
        <f>$C$22*$C$32</f>
        <v>7150000000</v>
      </c>
      <c r="D34" s="9" t="inlineStr">
        <is>
          <t xml:space="preserve">luas lahan × harga per m²</t>
        </is>
      </c>
      <c r="E34" s="9"/>
      <c r="F34" s="9"/>
    </row>
    <row r="35" ht="8" customHeight="1"/>
    <row r="36" ht="20" customHeight="1">
      <c r="A36" s="6" t="inlineStr">
        <is>
          <t xml:space="preserve">D. CARA BAYAR PEMBELIAN</t>
        </is>
      </c>
      <c r="B36" s="6"/>
      <c r="C36" s="6"/>
      <c r="D36" s="6"/>
      <c r="E36" s="6"/>
      <c r="F36" s="6"/>
    </row>
    <row r="37" ht="30" customHeight="1">
      <c r="A37" s="19" t="inlineStr">
        <is>
          <t xml:space="preserve">No</t>
        </is>
      </c>
      <c r="B37" s="19" t="inlineStr">
        <is>
          <t xml:space="preserve">Pembayaran</t>
        </is>
      </c>
      <c r="C37" s="19" t="inlineStr">
        <is>
          <t xml:space="preserve">Ketentuan</t>
        </is>
      </c>
      <c r="D37" s="19" t="inlineStr">
        <is>
          <t xml:space="preserve">%</t>
        </is>
      </c>
      <c r="E37" s="19" t="inlineStr">
        <is>
          <t xml:space="preserve">Jumlah (Rp)</t>
        </is>
      </c>
      <c r="F37" s="19" t="inlineStr">
        <is>
          <t xml:space="preserve">Keterangan</t>
        </is>
      </c>
    </row>
    <row r="38">
      <c r="A38" s="20">
        <v>1</v>
      </c>
      <c r="B38" s="21" t="inlineStr">
        <is>
          <t xml:space="preserve">Booking fee</t>
        </is>
      </c>
      <c r="C38" s="21" t="inlineStr">
        <is>
          <t xml:space="preserve">Saat booking</t>
        </is>
      </c>
      <c r="D38" s="21"/>
      <c r="E38" s="22">
        <v>200000000</v>
      </c>
      <c r="F38" s="23" t="inlineStr">
        <is>
          <t xml:space="preserve">bisa diubah</t>
        </is>
      </c>
    </row>
    <row r="39">
      <c r="A39" s="20">
        <v>2</v>
      </c>
      <c r="B39" s="21" t="inlineStr">
        <is>
          <t xml:space="preserve">Down payment (DP)</t>
        </is>
      </c>
      <c r="C39" s="21" t="inlineStr">
        <is>
          <t xml:space="preserve">Persentase dari harga, dikurangi booking fee</t>
        </is>
      </c>
      <c r="D39" s="24">
        <v>0.3</v>
      </c>
      <c r="E39" s="25">
        <f>MAX(0,$C$34*D39-E38)</f>
        <v>1945000000</v>
      </c>
      <c r="F39" s="23" t="inlineStr">
        <is>
          <t xml:space="preserve">% bisa diubah</t>
        </is>
      </c>
    </row>
    <row r="40">
      <c r="A40" s="20">
        <v>3</v>
      </c>
      <c r="B40" s="21" t="inlineStr">
        <is>
          <t xml:space="preserve">Sisa pembayaran</t>
        </is>
      </c>
      <c r="C40" s="21" t="inlineStr">
        <is>
          <t xml:space="preserve">Diangsur 36 kali</t>
        </is>
      </c>
      <c r="D40" s="26">
        <f>IF($C$34=0,0,E40/$C$34)</f>
        <v>0.7</v>
      </c>
      <c r="E40" s="25">
        <f>$C$34-E38-E39</f>
        <v>5005000000</v>
      </c>
      <c r="F40" s="23"/>
    </row>
    <row r="41">
      <c r="A41" s="20"/>
      <c r="B41" s="21" t="inlineStr">
        <is>
          <t xml:space="preserve">Jumlah angsuran</t>
        </is>
      </c>
      <c r="C41" s="21"/>
      <c r="D41" s="21"/>
      <c r="E41" s="27">
        <v>36</v>
      </c>
      <c r="F41" s="23"/>
    </row>
    <row r="42">
      <c r="A42" s="20"/>
      <c r="B42" s="21" t="inlineStr">
        <is>
          <t xml:space="preserve">Angsuran per bulan</t>
        </is>
      </c>
      <c r="C42" s="21" t="inlineStr">
        <is>
          <t xml:space="preserve">sisa pembayaran ÷ jumlah angsuran</t>
        </is>
      </c>
      <c r="D42" s="21"/>
      <c r="E42" s="28">
        <f>E40/E41</f>
        <v>139027777.7777778</v>
      </c>
      <c r="F42" s="23"/>
    </row>
    <row r="43">
      <c r="A43" s="29"/>
      <c r="B43" s="29" t="inlineStr">
        <is>
          <t xml:space="preserve">Total harga (belum termasuk PPN)</t>
        </is>
      </c>
      <c r="C43" s="29"/>
      <c r="D43" s="29"/>
      <c r="E43" s="30">
        <f>E38+E39+E40</f>
        <v>7150000000</v>
      </c>
      <c r="F43" s="29"/>
    </row>
    <row r="44" ht="8" customHeight="1"/>
    <row r="45" ht="20" customHeight="1">
      <c r="A45" s="6" t="inlineStr">
        <is>
          <t xml:space="preserve">E. JADWAL PEMBAYARAN</t>
        </is>
      </c>
      <c r="B45" s="6"/>
      <c r="C45" s="6"/>
      <c r="D45" s="6"/>
      <c r="E45" s="6"/>
      <c r="F45" s="6"/>
    </row>
    <row r="46" ht="30" customHeight="1">
      <c r="A46" s="19" t="inlineStr">
        <is>
          <t xml:space="preserve">No</t>
        </is>
      </c>
      <c r="B46" s="19" t="inlineStr">
        <is>
          <t xml:space="preserve">Uraian</t>
        </is>
      </c>
      <c r="C46" s="19" t="inlineStr">
        <is>
          <t xml:space="preserve">Jatuh tempo</t>
        </is>
      </c>
      <c r="D46" s="19"/>
      <c r="E46" s="19" t="inlineStr">
        <is>
          <t xml:space="preserve">Jumlah (Rp)</t>
        </is>
      </c>
      <c r="F46" s="19" t="inlineStr">
        <is>
          <t xml:space="preserve">Sisa kewajiban (Rp)</t>
        </is>
      </c>
    </row>
    <row r="47">
      <c r="A47" s="20">
        <v>1</v>
      </c>
      <c r="B47" s="21" t="inlineStr">
        <is>
          <t xml:space="preserve">Booking fee</t>
        </is>
      </c>
      <c r="C47" s="21" t="inlineStr">
        <is>
          <t xml:space="preserve">Saat booking</t>
        </is>
      </c>
      <c r="D47" s="21"/>
      <c r="E47" s="25">
        <f>E38</f>
        <v>200000000</v>
      </c>
      <c r="F47" s="25">
        <f>ROUND($E$43-E47,0)</f>
        <v>6950000000</v>
      </c>
    </row>
    <row r="48">
      <c r="A48" s="20">
        <v>2</v>
      </c>
      <c r="B48" s="21" t="inlineStr">
        <is>
          <t xml:space="preserve">Down payment (DP)</t>
        </is>
      </c>
      <c r="C48" s="21" t="inlineStr">
        <is>
          <t xml:space="preserve">Setelah booking fee</t>
        </is>
      </c>
      <c r="D48" s="21"/>
      <c r="E48" s="25">
        <f>E39</f>
        <v>1945000000</v>
      </c>
      <c r="F48" s="25">
        <f>ROUND(F47-E48,0)</f>
        <v>5005000000</v>
      </c>
    </row>
    <row r="49">
      <c r="A49" s="20">
        <v>3</v>
      </c>
      <c r="B49" s="21" t="inlineStr">
        <is>
          <t xml:space="preserve">Angsuran ke-1</t>
        </is>
      </c>
      <c r="C49" s="21" t="inlineStr">
        <is>
          <t xml:space="preserve">Bulan ke-1</t>
        </is>
      </c>
      <c r="D49" s="21"/>
      <c r="E49" s="25">
        <f>$E$42</f>
        <v>139027777.7777778</v>
      </c>
      <c r="F49" s="25">
        <f>ROUND(F48-E49,0)</f>
        <v>4865972222</v>
      </c>
    </row>
    <row r="50">
      <c r="A50" s="20">
        <v>4</v>
      </c>
      <c r="B50" s="21" t="inlineStr">
        <is>
          <t xml:space="preserve">Angsuran ke-2</t>
        </is>
      </c>
      <c r="C50" s="21" t="inlineStr">
        <is>
          <t xml:space="preserve">Bulan ke-2</t>
        </is>
      </c>
      <c r="D50" s="21"/>
      <c r="E50" s="25">
        <f>$E$42</f>
        <v>139027777.7777778</v>
      </c>
      <c r="F50" s="25">
        <f>ROUND(F49-E50,0)</f>
        <v>4726944444</v>
      </c>
    </row>
    <row r="51">
      <c r="A51" s="20">
        <v>5</v>
      </c>
      <c r="B51" s="21" t="inlineStr">
        <is>
          <t xml:space="preserve">Angsuran ke-3</t>
        </is>
      </c>
      <c r="C51" s="21" t="inlineStr">
        <is>
          <t xml:space="preserve">Bulan ke-3</t>
        </is>
      </c>
      <c r="D51" s="21"/>
      <c r="E51" s="25">
        <f>$E$42</f>
        <v>139027777.7777778</v>
      </c>
      <c r="F51" s="25">
        <f>ROUND(F50-E51,0)</f>
        <v>4587916667</v>
      </c>
    </row>
    <row r="52">
      <c r="A52" s="20">
        <v>6</v>
      </c>
      <c r="B52" s="21" t="inlineStr">
        <is>
          <t xml:space="preserve">Angsuran ke-4</t>
        </is>
      </c>
      <c r="C52" s="21" t="inlineStr">
        <is>
          <t xml:space="preserve">Bulan ke-4</t>
        </is>
      </c>
      <c r="D52" s="21"/>
      <c r="E52" s="25">
        <f>$E$42</f>
        <v>139027777.7777778</v>
      </c>
      <c r="F52" s="25">
        <f>ROUND(F51-E52,0)</f>
        <v>4448888889</v>
      </c>
    </row>
    <row r="53">
      <c r="A53" s="20">
        <v>7</v>
      </c>
      <c r="B53" s="21" t="inlineStr">
        <is>
          <t xml:space="preserve">Angsuran ke-5</t>
        </is>
      </c>
      <c r="C53" s="21" t="inlineStr">
        <is>
          <t xml:space="preserve">Bulan ke-5</t>
        </is>
      </c>
      <c r="D53" s="21"/>
      <c r="E53" s="25">
        <f>$E$42</f>
        <v>139027777.7777778</v>
      </c>
      <c r="F53" s="25">
        <f>ROUND(F52-E53,0)</f>
        <v>4309861111</v>
      </c>
    </row>
    <row r="54">
      <c r="A54" s="20">
        <v>8</v>
      </c>
      <c r="B54" s="21" t="inlineStr">
        <is>
          <t xml:space="preserve">Angsuran ke-6</t>
        </is>
      </c>
      <c r="C54" s="21" t="inlineStr">
        <is>
          <t xml:space="preserve">Bulan ke-6</t>
        </is>
      </c>
      <c r="D54" s="21"/>
      <c r="E54" s="25">
        <f>$E$42</f>
        <v>139027777.7777778</v>
      </c>
      <c r="F54" s="25">
        <f>ROUND(F53-E54,0)</f>
        <v>4170833333</v>
      </c>
    </row>
    <row r="55">
      <c r="A55" s="20">
        <v>9</v>
      </c>
      <c r="B55" s="21" t="inlineStr">
        <is>
          <t xml:space="preserve">Angsuran ke-7</t>
        </is>
      </c>
      <c r="C55" s="21" t="inlineStr">
        <is>
          <t xml:space="preserve">Bulan ke-7</t>
        </is>
      </c>
      <c r="D55" s="21"/>
      <c r="E55" s="25">
        <f>$E$42</f>
        <v>139027777.7777778</v>
      </c>
      <c r="F55" s="25">
        <f>ROUND(F54-E55,0)</f>
        <v>4031805556</v>
      </c>
    </row>
    <row r="56">
      <c r="A56" s="20">
        <v>10</v>
      </c>
      <c r="B56" s="21" t="inlineStr">
        <is>
          <t xml:space="preserve">Angsuran ke-8</t>
        </is>
      </c>
      <c r="C56" s="21" t="inlineStr">
        <is>
          <t xml:space="preserve">Bulan ke-8</t>
        </is>
      </c>
      <c r="D56" s="21"/>
      <c r="E56" s="25">
        <f>$E$42</f>
        <v>139027777.7777778</v>
      </c>
      <c r="F56" s="25">
        <f>ROUND(F55-E56,0)</f>
        <v>3892777778</v>
      </c>
    </row>
    <row r="57">
      <c r="A57" s="20">
        <v>11</v>
      </c>
      <c r="B57" s="21" t="inlineStr">
        <is>
          <t xml:space="preserve">Angsuran ke-9</t>
        </is>
      </c>
      <c r="C57" s="21" t="inlineStr">
        <is>
          <t xml:space="preserve">Bulan ke-9</t>
        </is>
      </c>
      <c r="D57" s="21"/>
      <c r="E57" s="25">
        <f>$E$42</f>
        <v>139027777.7777778</v>
      </c>
      <c r="F57" s="25">
        <f>ROUND(F56-E57,0)</f>
        <v>3753750000</v>
      </c>
    </row>
    <row r="58">
      <c r="A58" s="20">
        <v>12</v>
      </c>
      <c r="B58" s="21" t="inlineStr">
        <is>
          <t xml:space="preserve">Angsuran ke-10</t>
        </is>
      </c>
      <c r="C58" s="21" t="inlineStr">
        <is>
          <t xml:space="preserve">Bulan ke-10</t>
        </is>
      </c>
      <c r="D58" s="21"/>
      <c r="E58" s="25">
        <f>$E$42</f>
        <v>139027777.7777778</v>
      </c>
      <c r="F58" s="25">
        <f>ROUND(F57-E58,0)</f>
        <v>3614722222</v>
      </c>
    </row>
    <row r="59">
      <c r="A59" s="20">
        <v>13</v>
      </c>
      <c r="B59" s="21" t="inlineStr">
        <is>
          <t xml:space="preserve">Angsuran ke-11</t>
        </is>
      </c>
      <c r="C59" s="21" t="inlineStr">
        <is>
          <t xml:space="preserve">Bulan ke-11</t>
        </is>
      </c>
      <c r="D59" s="21"/>
      <c r="E59" s="25">
        <f>$E$42</f>
        <v>139027777.7777778</v>
      </c>
      <c r="F59" s="25">
        <f>ROUND(F58-E59,0)</f>
        <v>3475694444</v>
      </c>
    </row>
    <row r="60">
      <c r="A60" s="20">
        <v>14</v>
      </c>
      <c r="B60" s="21" t="inlineStr">
        <is>
          <t xml:space="preserve">Angsuran ke-12</t>
        </is>
      </c>
      <c r="C60" s="21" t="inlineStr">
        <is>
          <t xml:space="preserve">Bulan ke-12</t>
        </is>
      </c>
      <c r="D60" s="21"/>
      <c r="E60" s="25">
        <f>$E$42</f>
        <v>139027777.7777778</v>
      </c>
      <c r="F60" s="25">
        <f>ROUND(F59-E60,0)</f>
        <v>3336666667</v>
      </c>
    </row>
    <row r="61">
      <c r="A61" s="20">
        <v>15</v>
      </c>
      <c r="B61" s="21" t="inlineStr">
        <is>
          <t xml:space="preserve">Angsuran ke-13</t>
        </is>
      </c>
      <c r="C61" s="21" t="inlineStr">
        <is>
          <t xml:space="preserve">Bulan ke-13</t>
        </is>
      </c>
      <c r="D61" s="21"/>
      <c r="E61" s="25">
        <f>$E$42</f>
        <v>139027777.7777778</v>
      </c>
      <c r="F61" s="25">
        <f>ROUND(F60-E61,0)</f>
        <v>3197638889</v>
      </c>
    </row>
    <row r="62">
      <c r="A62" s="20">
        <v>16</v>
      </c>
      <c r="B62" s="21" t="inlineStr">
        <is>
          <t xml:space="preserve">Angsuran ke-14</t>
        </is>
      </c>
      <c r="C62" s="21" t="inlineStr">
        <is>
          <t xml:space="preserve">Bulan ke-14</t>
        </is>
      </c>
      <c r="D62" s="21"/>
      <c r="E62" s="25">
        <f>$E$42</f>
        <v>139027777.7777778</v>
      </c>
      <c r="F62" s="25">
        <f>ROUND(F61-E62,0)</f>
        <v>3058611111</v>
      </c>
    </row>
    <row r="63">
      <c r="A63" s="20">
        <v>17</v>
      </c>
      <c r="B63" s="21" t="inlineStr">
        <is>
          <t xml:space="preserve">Angsuran ke-15</t>
        </is>
      </c>
      <c r="C63" s="21" t="inlineStr">
        <is>
          <t xml:space="preserve">Bulan ke-15</t>
        </is>
      </c>
      <c r="D63" s="21"/>
      <c r="E63" s="25">
        <f>$E$42</f>
        <v>139027777.7777778</v>
      </c>
      <c r="F63" s="25">
        <f>ROUND(F62-E63,0)</f>
        <v>2919583333</v>
      </c>
    </row>
    <row r="64">
      <c r="A64" s="20">
        <v>18</v>
      </c>
      <c r="B64" s="21" t="inlineStr">
        <is>
          <t xml:space="preserve">Angsuran ke-16</t>
        </is>
      </c>
      <c r="C64" s="21" t="inlineStr">
        <is>
          <t xml:space="preserve">Bulan ke-16</t>
        </is>
      </c>
      <c r="D64" s="21"/>
      <c r="E64" s="25">
        <f>$E$42</f>
        <v>139027777.7777778</v>
      </c>
      <c r="F64" s="25">
        <f>ROUND(F63-E64,0)</f>
        <v>2780555556</v>
      </c>
    </row>
    <row r="65">
      <c r="A65" s="20">
        <v>19</v>
      </c>
      <c r="B65" s="21" t="inlineStr">
        <is>
          <t xml:space="preserve">Angsuran ke-17</t>
        </is>
      </c>
      <c r="C65" s="21" t="inlineStr">
        <is>
          <t xml:space="preserve">Bulan ke-17</t>
        </is>
      </c>
      <c r="D65" s="21"/>
      <c r="E65" s="25">
        <f>$E$42</f>
        <v>139027777.7777778</v>
      </c>
      <c r="F65" s="25">
        <f>ROUND(F64-E65,0)</f>
        <v>2641527778</v>
      </c>
    </row>
    <row r="66">
      <c r="A66" s="20">
        <v>20</v>
      </c>
      <c r="B66" s="21" t="inlineStr">
        <is>
          <t xml:space="preserve">Angsuran ke-18</t>
        </is>
      </c>
      <c r="C66" s="21" t="inlineStr">
        <is>
          <t xml:space="preserve">Bulan ke-18</t>
        </is>
      </c>
      <c r="D66" s="21"/>
      <c r="E66" s="25">
        <f>$E$42</f>
        <v>139027777.7777778</v>
      </c>
      <c r="F66" s="25">
        <f>ROUND(F65-E66,0)</f>
        <v>2502500000</v>
      </c>
    </row>
    <row r="67">
      <c r="A67" s="20">
        <v>21</v>
      </c>
      <c r="B67" s="21" t="inlineStr">
        <is>
          <t xml:space="preserve">Angsuran ke-19</t>
        </is>
      </c>
      <c r="C67" s="21" t="inlineStr">
        <is>
          <t xml:space="preserve">Bulan ke-19</t>
        </is>
      </c>
      <c r="D67" s="21"/>
      <c r="E67" s="25">
        <f>$E$42</f>
        <v>139027777.7777778</v>
      </c>
      <c r="F67" s="25">
        <f>ROUND(F66-E67,0)</f>
        <v>2363472222</v>
      </c>
    </row>
    <row r="68">
      <c r="A68" s="20">
        <v>22</v>
      </c>
      <c r="B68" s="21" t="inlineStr">
        <is>
          <t xml:space="preserve">Angsuran ke-20</t>
        </is>
      </c>
      <c r="C68" s="21" t="inlineStr">
        <is>
          <t xml:space="preserve">Bulan ke-20</t>
        </is>
      </c>
      <c r="D68" s="21"/>
      <c r="E68" s="25">
        <f>$E$42</f>
        <v>139027777.7777778</v>
      </c>
      <c r="F68" s="25">
        <f>ROUND(F67-E68,0)</f>
        <v>2224444444</v>
      </c>
    </row>
    <row r="69">
      <c r="A69" s="20">
        <v>23</v>
      </c>
      <c r="B69" s="21" t="inlineStr">
        <is>
          <t xml:space="preserve">Angsuran ke-21</t>
        </is>
      </c>
      <c r="C69" s="21" t="inlineStr">
        <is>
          <t xml:space="preserve">Bulan ke-21</t>
        </is>
      </c>
      <c r="D69" s="21"/>
      <c r="E69" s="25">
        <f>$E$42</f>
        <v>139027777.7777778</v>
      </c>
      <c r="F69" s="25">
        <f>ROUND(F68-E69,0)</f>
        <v>2085416667</v>
      </c>
    </row>
    <row r="70">
      <c r="A70" s="20">
        <v>24</v>
      </c>
      <c r="B70" s="21" t="inlineStr">
        <is>
          <t xml:space="preserve">Angsuran ke-22</t>
        </is>
      </c>
      <c r="C70" s="21" t="inlineStr">
        <is>
          <t xml:space="preserve">Bulan ke-22</t>
        </is>
      </c>
      <c r="D70" s="21"/>
      <c r="E70" s="25">
        <f>$E$42</f>
        <v>139027777.7777778</v>
      </c>
      <c r="F70" s="25">
        <f>ROUND(F69-E70,0)</f>
        <v>1946388889</v>
      </c>
    </row>
    <row r="71">
      <c r="A71" s="20">
        <v>25</v>
      </c>
      <c r="B71" s="21" t="inlineStr">
        <is>
          <t xml:space="preserve">Angsuran ke-23</t>
        </is>
      </c>
      <c r="C71" s="21" t="inlineStr">
        <is>
          <t xml:space="preserve">Bulan ke-23</t>
        </is>
      </c>
      <c r="D71" s="21"/>
      <c r="E71" s="25">
        <f>$E$42</f>
        <v>139027777.7777778</v>
      </c>
      <c r="F71" s="25">
        <f>ROUND(F70-E71,0)</f>
        <v>1807361111</v>
      </c>
    </row>
    <row r="72">
      <c r="A72" s="20">
        <v>26</v>
      </c>
      <c r="B72" s="21" t="inlineStr">
        <is>
          <t xml:space="preserve">Angsuran ke-24</t>
        </is>
      </c>
      <c r="C72" s="21" t="inlineStr">
        <is>
          <t xml:space="preserve">Bulan ke-24</t>
        </is>
      </c>
      <c r="D72" s="21"/>
      <c r="E72" s="25">
        <f>$E$42</f>
        <v>139027777.7777778</v>
      </c>
      <c r="F72" s="25">
        <f>ROUND(F71-E72,0)</f>
        <v>1668333333</v>
      </c>
    </row>
    <row r="73">
      <c r="A73" s="20">
        <v>27</v>
      </c>
      <c r="B73" s="21" t="inlineStr">
        <is>
          <t xml:space="preserve">Angsuran ke-25</t>
        </is>
      </c>
      <c r="C73" s="21" t="inlineStr">
        <is>
          <t xml:space="preserve">Bulan ke-25</t>
        </is>
      </c>
      <c r="D73" s="21"/>
      <c r="E73" s="25">
        <f>$E$42</f>
        <v>139027777.7777778</v>
      </c>
      <c r="F73" s="25">
        <f>ROUND(F72-E73,0)</f>
        <v>1529305556</v>
      </c>
    </row>
    <row r="74">
      <c r="A74" s="20">
        <v>28</v>
      </c>
      <c r="B74" s="21" t="inlineStr">
        <is>
          <t xml:space="preserve">Angsuran ke-26</t>
        </is>
      </c>
      <c r="C74" s="21" t="inlineStr">
        <is>
          <t xml:space="preserve">Bulan ke-26</t>
        </is>
      </c>
      <c r="D74" s="21"/>
      <c r="E74" s="25">
        <f>$E$42</f>
        <v>139027777.7777778</v>
      </c>
      <c r="F74" s="25">
        <f>ROUND(F73-E74,0)</f>
        <v>1390277778</v>
      </c>
    </row>
    <row r="75">
      <c r="A75" s="20">
        <v>29</v>
      </c>
      <c r="B75" s="21" t="inlineStr">
        <is>
          <t xml:space="preserve">Angsuran ke-27</t>
        </is>
      </c>
      <c r="C75" s="21" t="inlineStr">
        <is>
          <t xml:space="preserve">Bulan ke-27</t>
        </is>
      </c>
      <c r="D75" s="21"/>
      <c r="E75" s="25">
        <f>$E$42</f>
        <v>139027777.7777778</v>
      </c>
      <c r="F75" s="25">
        <f>ROUND(F74-E75,0)</f>
        <v>1251250000</v>
      </c>
    </row>
    <row r="76">
      <c r="A76" s="20">
        <v>30</v>
      </c>
      <c r="B76" s="21" t="inlineStr">
        <is>
          <t xml:space="preserve">Angsuran ke-28</t>
        </is>
      </c>
      <c r="C76" s="21" t="inlineStr">
        <is>
          <t xml:space="preserve">Bulan ke-28</t>
        </is>
      </c>
      <c r="D76" s="21"/>
      <c r="E76" s="25">
        <f>$E$42</f>
        <v>139027777.7777778</v>
      </c>
      <c r="F76" s="25">
        <f>ROUND(F75-E76,0)</f>
        <v>1112222222</v>
      </c>
    </row>
    <row r="77">
      <c r="A77" s="20">
        <v>31</v>
      </c>
      <c r="B77" s="21" t="inlineStr">
        <is>
          <t xml:space="preserve">Angsuran ke-29</t>
        </is>
      </c>
      <c r="C77" s="21" t="inlineStr">
        <is>
          <t xml:space="preserve">Bulan ke-29</t>
        </is>
      </c>
      <c r="D77" s="21"/>
      <c r="E77" s="25">
        <f>$E$42</f>
        <v>139027777.7777778</v>
      </c>
      <c r="F77" s="25">
        <f>ROUND(F76-E77,0)</f>
        <v>973194444</v>
      </c>
    </row>
    <row r="78">
      <c r="A78" s="20">
        <v>32</v>
      </c>
      <c r="B78" s="21" t="inlineStr">
        <is>
          <t xml:space="preserve">Angsuran ke-30</t>
        </is>
      </c>
      <c r="C78" s="21" t="inlineStr">
        <is>
          <t xml:space="preserve">Bulan ke-30</t>
        </is>
      </c>
      <c r="D78" s="21"/>
      <c r="E78" s="25">
        <f>$E$42</f>
        <v>139027777.7777778</v>
      </c>
      <c r="F78" s="25">
        <f>ROUND(F77-E78,0)</f>
        <v>834166667</v>
      </c>
    </row>
    <row r="79">
      <c r="A79" s="20">
        <v>33</v>
      </c>
      <c r="B79" s="21" t="inlineStr">
        <is>
          <t xml:space="preserve">Angsuran ke-31</t>
        </is>
      </c>
      <c r="C79" s="21" t="inlineStr">
        <is>
          <t xml:space="preserve">Bulan ke-31</t>
        </is>
      </c>
      <c r="D79" s="21"/>
      <c r="E79" s="25">
        <f>$E$42</f>
        <v>139027777.7777778</v>
      </c>
      <c r="F79" s="25">
        <f>ROUND(F78-E79,0)</f>
        <v>695138889</v>
      </c>
    </row>
    <row r="80">
      <c r="A80" s="20">
        <v>34</v>
      </c>
      <c r="B80" s="21" t="inlineStr">
        <is>
          <t xml:space="preserve">Angsuran ke-32</t>
        </is>
      </c>
      <c r="C80" s="21" t="inlineStr">
        <is>
          <t xml:space="preserve">Bulan ke-32</t>
        </is>
      </c>
      <c r="D80" s="21"/>
      <c r="E80" s="25">
        <f>$E$42</f>
        <v>139027777.7777778</v>
      </c>
      <c r="F80" s="25">
        <f>ROUND(F79-E80,0)</f>
        <v>556111111</v>
      </c>
    </row>
    <row r="81">
      <c r="A81" s="20">
        <v>35</v>
      </c>
      <c r="B81" s="21" t="inlineStr">
        <is>
          <t xml:space="preserve">Angsuran ke-33</t>
        </is>
      </c>
      <c r="C81" s="21" t="inlineStr">
        <is>
          <t xml:space="preserve">Bulan ke-33</t>
        </is>
      </c>
      <c r="D81" s="21"/>
      <c r="E81" s="25">
        <f>$E$42</f>
        <v>139027777.7777778</v>
      </c>
      <c r="F81" s="25">
        <f>ROUND(F80-E81,0)</f>
        <v>417083333</v>
      </c>
    </row>
    <row r="82">
      <c r="A82" s="20">
        <v>36</v>
      </c>
      <c r="B82" s="21" t="inlineStr">
        <is>
          <t xml:space="preserve">Angsuran ke-34</t>
        </is>
      </c>
      <c r="C82" s="21" t="inlineStr">
        <is>
          <t xml:space="preserve">Bulan ke-34</t>
        </is>
      </c>
      <c r="D82" s="21"/>
      <c r="E82" s="25">
        <f>$E$42</f>
        <v>139027777.7777778</v>
      </c>
      <c r="F82" s="25">
        <f>ROUND(F81-E82,0)</f>
        <v>278055556</v>
      </c>
    </row>
    <row r="83">
      <c r="A83" s="20">
        <v>37</v>
      </c>
      <c r="B83" s="21" t="inlineStr">
        <is>
          <t xml:space="preserve">Angsuran ke-35</t>
        </is>
      </c>
      <c r="C83" s="21" t="inlineStr">
        <is>
          <t xml:space="preserve">Bulan ke-35</t>
        </is>
      </c>
      <c r="D83" s="21"/>
      <c r="E83" s="25">
        <f>$E$42</f>
        <v>139027777.7777778</v>
      </c>
      <c r="F83" s="25">
        <f>ROUND(F82-E83,0)</f>
        <v>139027778</v>
      </c>
    </row>
    <row r="84">
      <c r="A84" s="20">
        <v>38</v>
      </c>
      <c r="B84" s="21" t="inlineStr">
        <is>
          <t xml:space="preserve">Angsuran ke-36</t>
        </is>
      </c>
      <c r="C84" s="21" t="inlineStr">
        <is>
          <t xml:space="preserve">Bulan ke-36</t>
        </is>
      </c>
      <c r="D84" s="21"/>
      <c r="E84" s="25">
        <f>$E$42</f>
        <v>139027777.7777778</v>
      </c>
      <c r="F84" s="25">
        <f>ROUND(F83-E84,0)</f>
        <v>0</v>
      </c>
    </row>
    <row r="85">
      <c r="A85" s="29"/>
      <c r="B85" s="29" t="inlineStr">
        <is>
          <t xml:space="preserve">Total</t>
        </is>
      </c>
      <c r="C85" s="29"/>
      <c r="D85" s="29"/>
      <c r="E85" s="30">
        <f>SUM(E47:E84)</f>
        <v>7150000000</v>
      </c>
      <c r="F85" s="29"/>
    </row>
    <row r="86" ht="10" customHeight="1"/>
    <row r="87" ht="14" customHeight="1">
      <c r="A87" s="31" t="inlineStr">
        <is>
          <t xml:space="preserve">Catatan:</t>
        </is>
      </c>
      <c r="B87" s="31"/>
      <c r="C87" s="31"/>
      <c r="D87" s="31"/>
      <c r="E87" s="31"/>
      <c r="F87" s="31"/>
    </row>
    <row r="88" ht="14" customHeight="1">
      <c r="A88" s="9" t="inlineStr">
        <is>
          <t xml:space="preserve">1. Seluruh nilai belum termasuk PPN.</t>
        </is>
      </c>
      <c r="B88" s="9"/>
      <c r="C88" s="9"/>
      <c r="D88" s="9"/>
      <c r="E88" s="9"/>
      <c r="F88" s="9"/>
    </row>
    <row r="89" ht="14" customHeight="1">
      <c r="A89" s="9" t="inlineStr">
        <is>
          <t xml:space="preserve">2. Booking fee menjadi bagian dari pembayaran DP.</t>
        </is>
      </c>
      <c r="B89" s="9"/>
      <c r="C89" s="9"/>
      <c r="D89" s="9"/>
      <c r="E89" s="9"/>
      <c r="F89" s="9"/>
    </row>
    <row r="90" ht="26" customHeight="1">
      <c r="A90" s="9" t="inlineStr">
        <is>
          <t xml:space="preserve">3. Sel berwarna kuning bisa diubah, nilai lain mengikuti rumus. Jumlah baris jadwal mengikuti jumlah cicilan saat file dibuat.</t>
        </is>
      </c>
      <c r="B90" s="9"/>
      <c r="C90" s="9"/>
      <c r="D90" s="9"/>
      <c r="E90" s="9"/>
      <c r="F90" s="9"/>
    </row>
    <row r="91" ht="14" customHeight="1">
      <c r="A91" s="9" t="inlineStr">
        <is>
          <t xml:space="preserve">4. Dokumen ini lembar perhitungan, bukan surat penawaran resmi atau perjanjian.</t>
        </is>
      </c>
      <c r="B91" s="9"/>
      <c r="C91" s="9"/>
      <c r="D91" s="9"/>
      <c r="E91" s="9"/>
      <c r="F91" s="9"/>
    </row>
    <row r="92" ht="14" customHeight="1">
      <c r="A92" s="9" t="inlineStr">
        <is>
          <t xml:space="preserve">Dibuat dengan MARKETHINGS · 5 Okt 2026</t>
        </is>
      </c>
      <c r="B92" s="9"/>
      <c r="C92" s="9"/>
      <c r="D92" s="9"/>
      <c r="E92" s="9"/>
      <c r="F92" s="9"/>
    </row>
  </sheetData>
  <mergeCells count="101">
    <mergeCell ref="A1:F1"/>
    <mergeCell ref="A2:F2"/>
    <mergeCell ref="A3:F3"/>
    <mergeCell ref="A5:F5"/>
    <mergeCell ref="A6:F6"/>
    <mergeCell ref="A8:F8"/>
    <mergeCell ref="A9:B9"/>
    <mergeCell ref="D9:F9"/>
    <mergeCell ref="A10:B10"/>
    <mergeCell ref="D10:F10"/>
    <mergeCell ref="A11:B11"/>
    <mergeCell ref="D11:F11"/>
    <mergeCell ref="A12:B12"/>
    <mergeCell ref="D12:F12"/>
    <mergeCell ref="A13:B13"/>
    <mergeCell ref="D13:F13"/>
    <mergeCell ref="A14:B14"/>
    <mergeCell ref="D14:F14"/>
    <mergeCell ref="A15:B15"/>
    <mergeCell ref="D15:F15"/>
    <mergeCell ref="A17:F17"/>
    <mergeCell ref="A18:B18"/>
    <mergeCell ref="D18:F18"/>
    <mergeCell ref="A19:B19"/>
    <mergeCell ref="D19:F19"/>
    <mergeCell ref="A20:B20"/>
    <mergeCell ref="D20:F20"/>
    <mergeCell ref="A21:B21"/>
    <mergeCell ref="D21:F21"/>
    <mergeCell ref="A22:B22"/>
    <mergeCell ref="D22:F22"/>
    <mergeCell ref="A23:B23"/>
    <mergeCell ref="D23:F23"/>
    <mergeCell ref="A24:B24"/>
    <mergeCell ref="D24:F24"/>
    <mergeCell ref="A25:B25"/>
    <mergeCell ref="D25:F25"/>
    <mergeCell ref="A26:B26"/>
    <mergeCell ref="D26:F26"/>
    <mergeCell ref="A27:B27"/>
    <mergeCell ref="D27:F27"/>
    <mergeCell ref="A28:B28"/>
    <mergeCell ref="D28:F28"/>
    <mergeCell ref="A30:F30"/>
    <mergeCell ref="A31:B31"/>
    <mergeCell ref="D31:F31"/>
    <mergeCell ref="A32:B32"/>
    <mergeCell ref="D32:F32"/>
    <mergeCell ref="A33:B33"/>
    <mergeCell ref="D33:F33"/>
    <mergeCell ref="A34:B34"/>
    <mergeCell ref="D34:F34"/>
    <mergeCell ref="A36:F36"/>
    <mergeCell ref="B43:C43"/>
    <mergeCell ref="A45:F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B85:D85"/>
    <mergeCell ref="A87:F87"/>
    <mergeCell ref="A88:F88"/>
    <mergeCell ref="A89:F89"/>
    <mergeCell ref="A90:F90"/>
    <mergeCell ref="A91:F91"/>
    <mergeCell ref="A92:F92"/>
  </mergeCells>
  <pageMargins left="0.5" right="0.5" top="0.6" bottom="0.6" header="0.3" footer="0.3"/>
  <pageSetup paperSize="9" orientation="portrait" fitToWidth="1" fitToHeight="0"/>
</worksheet>
</file>