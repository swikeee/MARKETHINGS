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nawaran" sheetId="1" r:id="rId1"/>
  </sheets>
  <calcPr calcId="191029" fullCalcOnLoad="1"/>
</workbook>
</file>

<file path=xl/styles.xml><?xml version="1.0" encoding="utf-8"?>
<styleSheet xmlns="http://schemas.openxmlformats.org/spreadsheetml/2006/main">
  <numFmts count="8">
    <numFmt numFmtId="164" formatCode="dd mmm yyyy"/>
    <numFmt numFmtId="165" formatCode="#,##0.## &quot;m²&quot;"/>
    <numFmt numFmtId="166" formatCode="#,##0.## &quot;m&quot;"/>
    <numFmt numFmtId="167" formatCode="#,##0.0#"/>
    <numFmt numFmtId="168" formatCode="&quot;Rp&quot; #,##0"/>
    <numFmt numFmtId="169" formatCode="0.0%"/>
    <numFmt numFmtId="170" formatCode="0.## &quot;tahun&quot;"/>
    <numFmt numFmtId="171" formatCode="0 &quot;kali&quot;"/>
  </numFmts>
  <fonts count="12">
    <font>
      <sz val="10"/>
      <color rgb="FF1F2937"/>
      <name val="Calibri"/>
      <family val="2"/>
    </font>
    <font>
      <b/>
      <sz val="16"/>
      <color rgb="FF0F766E"/>
      <name val="Calibri"/>
      <family val="2"/>
    </font>
    <font>
      <sz val="10"/>
      <color rgb="FF6B7280"/>
      <name val="Calibri"/>
      <family val="2"/>
    </font>
    <font>
      <b/>
      <sz val="13"/>
      <color rgb="FF1F2937"/>
      <name val="Calibri"/>
      <family val="2"/>
    </font>
    <font>
      <b/>
      <sz val="10"/>
      <color rgb="FF0F766E"/>
      <name val="Calibri"/>
      <family val="2"/>
    </font>
    <font>
      <sz val="10"/>
      <color rgb="FF4B5563"/>
      <name val="Calibri"/>
      <family val="2"/>
    </font>
    <font>
      <b/>
      <sz val="10"/>
      <color rgb="FF1F2937"/>
      <name val="Calibri"/>
      <family val="2"/>
    </font>
    <font>
      <i/>
      <sz val="9"/>
      <color rgb="FF6B7280"/>
      <name val="Calibri"/>
      <family val="2"/>
    </font>
    <font>
      <b/>
      <sz val="11"/>
      <color rgb="FF1F2937"/>
      <name val="Calibri"/>
      <family val="2"/>
    </font>
    <font>
      <sz val="9"/>
      <color rgb="FF6B7280"/>
      <name val="Calibri"/>
      <family val="2"/>
    </font>
    <font>
      <b/>
      <sz val="10"/>
      <color rgb="FF4B5563"/>
      <name val="Calibri"/>
      <family val="2"/>
    </font>
    <font>
      <b/>
      <sz val="9"/>
      <color rgb="FF4B556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6F4F1"/>
        <bgColor indexed="64"/>
      </patternFill>
    </fill>
    <fill>
      <patternFill patternType="solid">
        <fgColor rgb="FFFFF4C2"/>
        <bgColor indexed="64"/>
      </patternFill>
    </fill>
    <fill>
      <patternFill patternType="solid">
        <fgColor rgb="FFF3F4F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F766E"/>
      </bottom>
      <diagonal/>
    </border>
    <border>
      <left/>
      <right/>
      <top/>
      <bottom style="thin">
        <color rgb="FF0F766E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36">
    <xf numFmtId="0" fontId="0" fillId="0" borderId="0" xfId="0" applyNumberFormat="1" applyFont="1" applyFill="1" applyBorder="1" applyAlignment="1">
      <alignment horizontal="general" vertical="center"/>
    </xf>
    <xf numFmtId="0" fontId="1" fillId="0" borderId="0" xfId="0" applyNumberFormat="1" applyFont="1" applyFill="1" applyBorder="1" applyAlignment="1">
      <alignment horizontal="general" vertical="center"/>
    </xf>
    <xf numFmtId="0" fontId="2" fillId="0" borderId="0" xfId="0" applyNumberFormat="1" applyFont="1" applyFill="1" applyBorder="1" applyAlignment="1">
      <alignment horizontal="general" vertical="center"/>
    </xf>
    <xf numFmtId="0" fontId="0" fillId="0" borderId="1" xfId="0" applyNumberFormat="1" applyFont="1" applyFill="1" applyBorder="1" applyAlignment="1">
      <alignment horizontal="general" vertical="center"/>
    </xf>
    <xf numFmtId="0" fontId="3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general" vertical="center"/>
    </xf>
    <xf numFmtId="0" fontId="5" fillId="0" borderId="0" xfId="0" applyNumberFormat="1" applyFont="1" applyFill="1" applyBorder="1" applyAlignment="1">
      <alignment horizontal="general" vertical="center"/>
    </xf>
    <xf numFmtId="0" fontId="6" fillId="0" borderId="0" xfId="0" applyNumberFormat="1" applyFont="1" applyFill="1" applyBorder="1" applyAlignment="1">
      <alignment horizontal="left" vertical="center" wrapText="1"/>
    </xf>
    <xf numFmtId="0" fontId="7" fillId="0" borderId="0" xfId="0" applyNumberFormat="1" applyFont="1" applyFill="1" applyBorder="1" applyAlignment="1">
      <alignment horizontal="general" vertical="center" wrapText="1"/>
    </xf>
    <xf numFmtId="164" fontId="6" fillId="0" borderId="0" xfId="0" applyNumberFormat="1" applyFont="1" applyFill="1" applyBorder="1" applyAlignment="1">
      <alignment horizontal="left" vertical="center"/>
    </xf>
    <xf numFmtId="165" fontId="6" fillId="0" borderId="0" xfId="0" applyNumberFormat="1" applyFont="1" applyFill="1" applyBorder="1" applyAlignment="1">
      <alignment horizontal="left" vertical="center"/>
    </xf>
    <xf numFmtId="166" fontId="6" fillId="0" borderId="0" xfId="0" applyNumberFormat="1" applyFont="1" applyFill="1" applyBorder="1" applyAlignment="1">
      <alignment horizontal="left" vertical="center"/>
    </xf>
    <xf numFmtId="9" fontId="6" fillId="0" borderId="0" xfId="0" applyNumberFormat="1" applyFont="1" applyFill="1" applyBorder="1" applyAlignment="1">
      <alignment horizontal="left" vertical="center"/>
    </xf>
    <xf numFmtId="167" fontId="6" fillId="0" borderId="0" xfId="0" applyNumberFormat="1" applyFont="1" applyFill="1" applyBorder="1" applyAlignment="1">
      <alignment horizontal="left" vertical="center"/>
    </xf>
    <xf numFmtId="168" fontId="6" fillId="0" borderId="0" xfId="0" applyNumberFormat="1" applyFont="1" applyFill="1" applyBorder="1" applyAlignment="1">
      <alignment horizontal="left" vertical="center"/>
    </xf>
    <xf numFmtId="168" fontId="6" fillId="3" borderId="3" xfId="0" applyNumberFormat="1" applyFont="1" applyFill="1" applyBorder="1" applyAlignment="1">
      <alignment horizontal="left" vertical="center"/>
    </xf>
    <xf numFmtId="169" fontId="6" fillId="0" borderId="0" xfId="0" applyNumberFormat="1" applyFont="1" applyFill="1" applyBorder="1" applyAlignment="1">
      <alignment horizontal="left" vertical="center"/>
    </xf>
    <xf numFmtId="170" fontId="6" fillId="3" borderId="3" xfId="0" applyNumberFormat="1" applyFont="1" applyFill="1" applyBorder="1" applyAlignment="1">
      <alignment horizontal="left" vertical="center"/>
    </xf>
    <xf numFmtId="168" fontId="8" fillId="0" borderId="0" xfId="0" applyNumberFormat="1" applyFont="1" applyFill="1" applyBorder="1" applyAlignment="1">
      <alignment horizontal="left" vertical="center"/>
    </xf>
    <xf numFmtId="0" fontId="6" fillId="4" borderId="4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general" vertical="center" wrapText="1"/>
    </xf>
    <xf numFmtId="9" fontId="0" fillId="3" borderId="4" xfId="0" applyNumberFormat="1" applyFont="1" applyFill="1" applyBorder="1" applyAlignment="1">
      <alignment horizontal="center" vertical="center"/>
    </xf>
    <xf numFmtId="168" fontId="0" fillId="0" borderId="4" xfId="0" applyNumberFormat="1" applyFont="1" applyFill="1" applyBorder="1" applyAlignment="1">
      <alignment horizontal="right" vertical="center"/>
    </xf>
    <xf numFmtId="0" fontId="9" fillId="0" borderId="4" xfId="0" applyNumberFormat="1" applyFont="1" applyFill="1" applyBorder="1" applyAlignment="1">
      <alignment horizontal="general" vertical="center" wrapText="1"/>
    </xf>
    <xf numFmtId="9" fontId="0" fillId="0" borderId="4" xfId="0" applyNumberFormat="1" applyFont="1" applyFill="1" applyBorder="1" applyAlignment="1">
      <alignment horizontal="center" vertical="center"/>
    </xf>
    <xf numFmtId="171" fontId="0" fillId="0" borderId="4" xfId="0" applyNumberFormat="1" applyFont="1" applyFill="1" applyBorder="1" applyAlignment="1">
      <alignment horizontal="right" vertical="center"/>
    </xf>
    <xf numFmtId="168" fontId="6" fillId="0" borderId="4" xfId="0" applyNumberFormat="1" applyFont="1" applyFill="1" applyBorder="1" applyAlignment="1">
      <alignment horizontal="right" vertical="center"/>
    </xf>
    <xf numFmtId="0" fontId="6" fillId="4" borderId="4" xfId="0" applyNumberFormat="1" applyFont="1" applyFill="1" applyBorder="1" applyAlignment="1">
      <alignment horizontal="general" vertical="center"/>
    </xf>
    <xf numFmtId="9" fontId="6" fillId="4" borderId="4" xfId="0" applyNumberFormat="1" applyFont="1" applyFill="1" applyBorder="1" applyAlignment="1">
      <alignment horizontal="center" vertical="center"/>
    </xf>
    <xf numFmtId="168" fontId="6" fillId="4" borderId="4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general" vertical="center"/>
    </xf>
    <xf numFmtId="3" fontId="0" fillId="3" borderId="4" xfId="0" applyNumberFormat="1" applyFont="1" applyFill="1" applyBorder="1" applyAlignment="1">
      <alignment horizontal="center" vertical="center"/>
    </xf>
    <xf numFmtId="168" fontId="0" fillId="3" borderId="4" xfId="0" applyNumberFormat="1" applyFont="1" applyFill="1" applyBorder="1" applyAlignment="1">
      <alignment horizontal="right" vertical="center"/>
    </xf>
    <xf numFmtId="0" fontId="11" fillId="0" borderId="0" xfId="0" applyNumberFormat="1" applyFont="1" applyFill="1" applyBorder="1" applyAlignment="1">
      <alignment horizontal="general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6"/>
  <cols>
    <col min="1" max="1" width="5" customWidth="1"/>
    <col min="2" max="2" width="26" customWidth="1"/>
    <col min="3" max="3" width="40" customWidth="1"/>
    <col min="4" max="4" width="9" customWidth="1"/>
    <col min="5" max="5" width="20" customWidth="1"/>
    <col min="6" max="6" width="22" customWidth="1"/>
  </cols>
  <sheetData>
    <row r="1" ht="26" customHeight="1">
      <c r="A1" s="1" t="inlineStr">
        <is>
          <t xml:space="preserve">PORORO LAND BANDUNG</t>
        </is>
      </c>
      <c r="B1" s="1"/>
      <c r="C1" s="1"/>
      <c r="D1" s="1"/>
      <c r="E1" s="1"/>
      <c r="F1" s="1"/>
    </row>
    <row r="2" ht="16" customHeight="1">
      <c r="A2" s="2" t="inlineStr">
        <is>
          <t xml:space="preserve">Kavling Komersial</t>
        </is>
      </c>
      <c r="B2" s="2"/>
      <c r="C2" s="2"/>
      <c r="D2" s="2"/>
      <c r="E2" s="2"/>
      <c r="F2" s="2"/>
    </row>
    <row r="3" ht="6" customHeight="1">
      <c r="A3" s="3"/>
      <c r="B3" s="3"/>
      <c r="C3" s="3"/>
      <c r="D3" s="3"/>
      <c r="E3" s="3"/>
      <c r="F3" s="3"/>
    </row>
    <row r="4" ht="8" customHeight="1"/>
    <row r="5" ht="22" customHeight="1">
      <c r="A5" s="4" t="inlineStr">
        <is>
          <t xml:space="preserve">PERHITUNGAN PENAWARAN SEWA KAVLING KOMERSIAL</t>
        </is>
      </c>
      <c r="B5" s="4"/>
      <c r="C5" s="4"/>
      <c r="D5" s="4"/>
      <c r="E5" s="4"/>
      <c r="F5" s="4"/>
    </row>
    <row r="6" ht="16" customHeight="1">
      <c r="A6" s="5" t="inlineStr">
        <is>
          <t xml:space="preserve">Kavling E5A · Asco Coffee</t>
        </is>
      </c>
      <c r="B6" s="5"/>
      <c r="C6" s="5"/>
      <c r="D6" s="5"/>
      <c r="E6" s="5"/>
      <c r="F6" s="5"/>
    </row>
    <row r="7" ht="8" customHeight="1"/>
    <row r="8" ht="20" customHeight="1">
      <c r="A8" s="6" t="inlineStr">
        <is>
          <t xml:space="preserve">A. DATA PENAWARAN</t>
        </is>
      </c>
      <c r="B8" s="6"/>
      <c r="C8" s="6"/>
      <c r="D8" s="6"/>
      <c r="E8" s="6"/>
      <c r="F8" s="6"/>
    </row>
    <row r="9">
      <c r="A9" s="7" t="inlineStr">
        <is>
          <t xml:space="preserve">Nama tenant / brand</t>
        </is>
      </c>
      <c r="B9" s="7"/>
      <c r="C9" s="8" t="inlineStr">
        <is>
          <t xml:space="preserve">Asco Coffee</t>
        </is>
      </c>
      <c r="D9" s="9"/>
      <c r="E9" s="9"/>
      <c r="F9" s="9"/>
    </row>
    <row r="10">
      <c r="A10" s="7" t="inlineStr">
        <is>
          <t xml:space="preserve">Rencana usaha</t>
        </is>
      </c>
      <c r="B10" s="7"/>
      <c r="C10" s="8" t="inlineStr">
        <is>
          <t xml:space="preserve">Coffee shop</t>
        </is>
      </c>
      <c r="D10" s="9"/>
      <c r="E10" s="9"/>
      <c r="F10" s="9"/>
    </row>
    <row r="11">
      <c r="A11" s="7" t="inlineStr">
        <is>
          <t xml:space="preserve">PIC / kontak</t>
        </is>
      </c>
      <c r="B11" s="7"/>
      <c r="C11" s="8" t="inlineStr">
        <is>
          <t xml:space="preserve">–</t>
        </is>
      </c>
      <c r="D11" s="9"/>
      <c r="E11" s="9"/>
      <c r="F11" s="9"/>
    </row>
    <row r="12">
      <c r="A12" s="7" t="inlineStr">
        <is>
          <t xml:space="preserve">Jenis penawaran</t>
        </is>
      </c>
      <c r="B12" s="7"/>
      <c r="C12" s="8" t="inlineStr">
        <is>
          <t xml:space="preserve">Sewa</t>
        </is>
      </c>
      <c r="D12" s="9"/>
      <c r="E12" s="9"/>
      <c r="F12" s="9"/>
    </row>
    <row r="13">
      <c r="A13" s="7" t="inlineStr">
        <is>
          <t xml:space="preserve">Tanggal penawaran</t>
        </is>
      </c>
      <c r="B13" s="7"/>
      <c r="C13" s="10">
        <v>46277</v>
      </c>
      <c r="D13" s="9"/>
      <c r="E13" s="9"/>
      <c r="F13" s="9"/>
    </row>
    <row r="14">
      <c r="A14" s="7" t="inlineStr">
        <is>
          <t xml:space="preserve">Status</t>
        </is>
      </c>
      <c r="B14" s="7"/>
      <c r="C14" s="8" t="inlineStr">
        <is>
          <t xml:space="preserve">Negosiasi</t>
        </is>
      </c>
      <c r="D14" s="9"/>
      <c r="E14" s="9"/>
      <c r="F14" s="9"/>
    </row>
    <row r="15">
      <c r="A15" s="7" t="inlineStr">
        <is>
          <t xml:space="preserve">Catatan</t>
        </is>
      </c>
      <c r="B15" s="7"/>
      <c r="C15" s="8" t="inlineStr">
        <is>
          <t xml:space="preserve">Minta sisa sewa dicicil 48x</t>
        </is>
      </c>
      <c r="D15" s="9"/>
      <c r="E15" s="9"/>
      <c r="F15" s="9"/>
    </row>
    <row r="16" ht="8" customHeight="1"/>
    <row r="17" ht="20" customHeight="1">
      <c r="A17" s="6" t="inlineStr">
        <is>
          <t xml:space="preserve">B. DATA KAVLING</t>
        </is>
      </c>
      <c r="B17" s="6"/>
      <c r="C17" s="6"/>
      <c r="D17" s="6"/>
      <c r="E17" s="6"/>
      <c r="F17" s="6"/>
    </row>
    <row r="18">
      <c r="A18" s="7" t="inlineStr">
        <is>
          <t xml:space="preserve">Kode kavling</t>
        </is>
      </c>
      <c r="B18" s="7"/>
      <c r="C18" s="8" t="inlineStr">
        <is>
          <t xml:space="preserve">E5A</t>
        </is>
      </c>
      <c r="D18" s="9"/>
      <c r="E18" s="9"/>
      <c r="F18" s="9"/>
    </row>
    <row r="19">
      <c r="A19" s="7" t="inlineStr">
        <is>
          <t xml:space="preserve">Zona</t>
        </is>
      </c>
      <c r="B19" s="7"/>
      <c r="C19" s="8" t="inlineStr">
        <is>
          <t xml:space="preserve">Zona E · Boulevard</t>
        </is>
      </c>
      <c r="D19" s="9"/>
      <c r="E19" s="9"/>
      <c r="F19" s="9"/>
    </row>
    <row r="20">
      <c r="A20" s="7" t="inlineStr">
        <is>
          <t xml:space="preserve">Peruntukan</t>
        </is>
      </c>
      <c r="B20" s="7"/>
      <c r="C20" s="8" t="inlineStr">
        <is>
          <t xml:space="preserve">F&amp;B / kafe</t>
        </is>
      </c>
      <c r="D20" s="9"/>
      <c r="E20" s="9"/>
      <c r="F20" s="9"/>
    </row>
    <row r="21">
      <c r="A21" s="7" t="inlineStr">
        <is>
          <t xml:space="preserve">Status kavling</t>
        </is>
      </c>
      <c r="B21" s="7"/>
      <c r="C21" s="8" t="inlineStr">
        <is>
          <t xml:space="preserve">Available</t>
        </is>
      </c>
      <c r="D21" s="9"/>
      <c r="E21" s="9"/>
      <c r="F21" s="9"/>
    </row>
    <row r="22">
      <c r="A22" s="7" t="inlineStr">
        <is>
          <t xml:space="preserve">Luas lahan</t>
        </is>
      </c>
      <c r="B22" s="7"/>
      <c r="C22" s="11">
        <v>650</v>
      </c>
      <c r="D22" s="9"/>
      <c r="E22" s="9"/>
      <c r="F22" s="9"/>
    </row>
    <row r="23">
      <c r="A23" s="7" t="inlineStr">
        <is>
          <t xml:space="preserve">Frontage (lebar muka)</t>
        </is>
      </c>
      <c r="B23" s="7"/>
      <c r="C23" s="12">
        <v>26</v>
      </c>
      <c r="D23" s="9"/>
      <c r="E23" s="9"/>
      <c r="F23" s="9"/>
    </row>
    <row r="24">
      <c r="A24" s="7" t="inlineStr">
        <is>
          <t xml:space="preserve">Dimensi</t>
        </is>
      </c>
      <c r="B24" s="7"/>
      <c r="C24" s="8" t="inlineStr">
        <is>
          <t xml:space="preserve">26 × 25 m</t>
        </is>
      </c>
      <c r="D24" s="9"/>
      <c r="E24" s="9"/>
      <c r="F24" s="9"/>
    </row>
    <row r="25">
      <c r="A25" s="7" t="inlineStr">
        <is>
          <t xml:space="preserve">KDB maksimal</t>
        </is>
      </c>
      <c r="B25" s="7"/>
      <c r="C25" s="13">
        <v>0.7</v>
      </c>
      <c r="D25" s="9" t="inlineStr">
        <is>
          <t xml:space="preserve">luas tapak bangunan terhadap luas lahan</t>
        </is>
      </c>
      <c r="E25" s="9"/>
      <c r="F25" s="9"/>
    </row>
    <row r="26">
      <c r="A26" s="7" t="inlineStr">
        <is>
          <t xml:space="preserve">KLB maksimal</t>
        </is>
      </c>
      <c r="B26" s="7"/>
      <c r="C26" s="14">
        <v>3.2</v>
      </c>
      <c r="D26" s="9"/>
      <c r="E26" s="9"/>
      <c r="F26" s="9"/>
    </row>
    <row r="27">
      <c r="A27" s="7" t="inlineStr">
        <is>
          <t xml:space="preserve">Luas bangunan maksimal</t>
        </is>
      </c>
      <c r="B27" s="7"/>
      <c r="C27" s="11">
        <f>C22*C26</f>
        <v>2080</v>
      </c>
      <c r="D27" s="9" t="inlineStr">
        <is>
          <t xml:space="preserve">luas lahan × KLB</t>
        </is>
      </c>
      <c r="E27" s="9"/>
      <c r="F27" s="9"/>
    </row>
    <row r="28">
      <c r="A28" s="7" t="inlineStr">
        <is>
          <t xml:space="preserve">Garis sempadan</t>
        </is>
      </c>
      <c r="B28" s="7"/>
      <c r="C28" s="8" t="inlineStr">
        <is>
          <t xml:space="preserve">depan 10 m · samping 4 m · belakang 4 m</t>
        </is>
      </c>
      <c r="D28" s="9"/>
      <c r="E28" s="9"/>
      <c r="F28" s="9"/>
    </row>
    <row r="29" ht="8" customHeight="1"/>
    <row r="30" ht="20" customHeight="1">
      <c r="A30" s="6" t="inlineStr">
        <is>
          <t xml:space="preserve">C. HARGA SEWA (belum termasuk PPN)</t>
        </is>
      </c>
      <c r="B30" s="6"/>
      <c r="C30" s="6"/>
      <c r="D30" s="6"/>
      <c r="E30" s="6"/>
      <c r="F30" s="6"/>
    </row>
    <row r="31">
      <c r="A31" s="7" t="inlineStr">
        <is>
          <t xml:space="preserve">Harga sewa standar / m² / bulan</t>
        </is>
      </c>
      <c r="B31" s="7"/>
      <c r="C31" s="15">
        <v>100000</v>
      </c>
      <c r="D31" s="9"/>
      <c r="E31" s="9"/>
      <c r="F31" s="9"/>
    </row>
    <row r="32">
      <c r="A32" s="7" t="inlineStr">
        <is>
          <t xml:space="preserve">Harga sewa ditawar / m² / bulan</t>
        </is>
      </c>
      <c r="B32" s="7"/>
      <c r="C32" s="16">
        <v>90000</v>
      </c>
      <c r="D32" s="9" t="inlineStr">
        <is>
          <t xml:space="preserve">bisa diubah</t>
        </is>
      </c>
      <c r="E32" s="9"/>
      <c r="F32" s="9"/>
    </row>
    <row r="33">
      <c r="A33" s="7" t="inlineStr">
        <is>
          <t xml:space="preserve">Selisih terhadap standar</t>
        </is>
      </c>
      <c r="B33" s="7"/>
      <c r="C33" s="17">
        <f>IF($C$31=0,0,($C$32-$C$31)/$C$31)</f>
        <v>-0.1</v>
      </c>
      <c r="D33" s="9"/>
      <c r="E33" s="9"/>
      <c r="F33" s="9"/>
    </row>
    <row r="34">
      <c r="A34" s="7" t="inlineStr">
        <is>
          <t xml:space="preserve">Jangka waktu sewa</t>
        </is>
      </c>
      <c r="B34" s="7"/>
      <c r="C34" s="18">
        <v>10</v>
      </c>
      <c r="D34" s="9" t="inlineStr">
        <is>
          <t xml:space="preserve">bisa diubah · minimal standar 10 tahun</t>
        </is>
      </c>
      <c r="E34" s="9"/>
      <c r="F34" s="9"/>
    </row>
    <row r="35">
      <c r="A35" s="7" t="inlineStr">
        <is>
          <t xml:space="preserve">Sewa per bulan</t>
        </is>
      </c>
      <c r="B35" s="7"/>
      <c r="C35" s="15">
        <f>$C$22*$C$32</f>
        <v>58500000</v>
      </c>
      <c r="D35" s="9" t="inlineStr">
        <is>
          <t xml:space="preserve">luas lahan × harga sewa</t>
        </is>
      </c>
      <c r="E35" s="9"/>
      <c r="F35" s="9"/>
    </row>
    <row r="36">
      <c r="A36" s="7" t="inlineStr">
        <is>
          <t xml:space="preserve">Sewa per tahun</t>
        </is>
      </c>
      <c r="B36" s="7"/>
      <c r="C36" s="15">
        <f>$C$35*12</f>
        <v>702000000</v>
      </c>
      <c r="D36" s="9"/>
      <c r="E36" s="9"/>
      <c r="F36" s="9"/>
    </row>
    <row r="37">
      <c r="A37" s="7" t="inlineStr">
        <is>
          <t xml:space="preserve">Total nilai sewa</t>
        </is>
      </c>
      <c r="B37" s="7"/>
      <c r="C37" s="19">
        <f>$C$35*12*$C$34</f>
        <v>7020000000</v>
      </c>
      <c r="D37" s="9" t="inlineStr">
        <is>
          <t xml:space="preserve">sewa per bulan × 12 × jangka waktu</t>
        </is>
      </c>
      <c r="E37" s="9"/>
      <c r="F37" s="9"/>
    </row>
    <row r="38">
      <c r="A38" s="7" t="inlineStr">
        <is>
          <t xml:space="preserve">IPL / m² / bulan</t>
        </is>
      </c>
      <c r="B38" s="7"/>
      <c r="C38" s="16">
        <v>5500</v>
      </c>
      <c r="D38" s="9" t="inlineStr">
        <is>
          <t xml:space="preserve">bisa diubah</t>
        </is>
      </c>
      <c r="E38" s="9"/>
      <c r="F38" s="9"/>
    </row>
    <row r="39">
      <c r="A39" s="7" t="inlineStr">
        <is>
          <t xml:space="preserve">IPL per bulan</t>
        </is>
      </c>
      <c r="B39" s="7"/>
      <c r="C39" s="15">
        <f>$C$22*$C$38</f>
        <v>3575000</v>
      </c>
      <c r="D39" s="9" t="inlineStr">
        <is>
          <t xml:space="preserve">luas lahan × IPL, di luar nilai sewa</t>
        </is>
      </c>
      <c r="E39" s="9"/>
      <c r="F39" s="9"/>
    </row>
    <row r="40" ht="8" customHeight="1"/>
    <row r="41" ht="20" customHeight="1">
      <c r="A41" s="6" t="inlineStr">
        <is>
          <t xml:space="preserve">D. CARA BAYAR SEWA</t>
        </is>
      </c>
      <c r="B41" s="6"/>
      <c r="C41" s="6"/>
      <c r="D41" s="6"/>
      <c r="E41" s="6"/>
      <c r="F41" s="6"/>
    </row>
    <row r="42" ht="30" customHeight="1">
      <c r="A42" s="20" t="inlineStr">
        <is>
          <t xml:space="preserve">No</t>
        </is>
      </c>
      <c r="B42" s="20" t="inlineStr">
        <is>
          <t xml:space="preserve">Pembayaran</t>
        </is>
      </c>
      <c r="C42" s="20" t="inlineStr">
        <is>
          <t xml:space="preserve">Ketentuan</t>
        </is>
      </c>
      <c r="D42" s="20" t="inlineStr">
        <is>
          <t xml:space="preserve">%</t>
        </is>
      </c>
      <c r="E42" s="20" t="inlineStr">
        <is>
          <t xml:space="preserve">Jumlah (Rp)</t>
        </is>
      </c>
      <c r="F42" s="20" t="inlineStr">
        <is>
          <t xml:space="preserve">Keterangan</t>
        </is>
      </c>
    </row>
    <row r="43">
      <c r="A43" s="21">
        <v>1</v>
      </c>
      <c r="B43" s="22" t="inlineStr">
        <is>
          <t xml:space="preserve">Pembayaran 1</t>
        </is>
      </c>
      <c r="C43" s="22" t="inlineStr">
        <is>
          <t xml:space="preserve">Saat tanda tangan LOI</t>
        </is>
      </c>
      <c r="D43" s="23">
        <v>0.1</v>
      </c>
      <c r="E43" s="24">
        <f>$C$37*D43</f>
        <v>702000000</v>
      </c>
      <c r="F43" s="25"/>
    </row>
    <row r="44">
      <c r="A44" s="21">
        <v>2</v>
      </c>
      <c r="B44" s="22" t="inlineStr">
        <is>
          <t xml:space="preserve">Pembayaran 2</t>
        </is>
      </c>
      <c r="C44" s="22" t="inlineStr">
        <is>
          <t xml:space="preserve">30 hari setelah pembayaran 1</t>
        </is>
      </c>
      <c r="D44" s="23">
        <v>0.1</v>
      </c>
      <c r="E44" s="24">
        <f>$C$37*D44</f>
        <v>702000000</v>
      </c>
      <c r="F44" s="25"/>
    </row>
    <row r="45">
      <c r="A45" s="21">
        <v>3</v>
      </c>
      <c r="B45" s="22" t="inlineStr">
        <is>
          <t xml:space="preserve">Sisa pembayaran</t>
        </is>
      </c>
      <c r="C45" s="22" t="inlineStr">
        <is>
          <t xml:space="preserve">Dicicil 48 kali sejak tanggal pembukaan / operasional</t>
        </is>
      </c>
      <c r="D45" s="26">
        <f>1-D43-D44</f>
        <v>0.8</v>
      </c>
      <c r="E45" s="24">
        <f>$C$37*D45</f>
        <v>5616000000</v>
      </c>
      <c r="F45" s="25"/>
    </row>
    <row r="46">
      <c r="A46" s="21"/>
      <c r="B46" s="22" t="inlineStr">
        <is>
          <t xml:space="preserve">Jumlah cicilan</t>
        </is>
      </c>
      <c r="C46" s="22"/>
      <c r="D46" s="22"/>
      <c r="E46" s="27">
        <v>48</v>
      </c>
      <c r="F46" s="25"/>
    </row>
    <row r="47">
      <c r="A47" s="21"/>
      <c r="B47" s="22" t="inlineStr">
        <is>
          <t xml:space="preserve">Cicilan per bulan</t>
        </is>
      </c>
      <c r="C47" s="22" t="inlineStr">
        <is>
          <t xml:space="preserve">sisa pembayaran ÷ jumlah cicilan</t>
        </is>
      </c>
      <c r="D47" s="22"/>
      <c r="E47" s="28">
        <f>E45/E46</f>
        <v>117000000</v>
      </c>
      <c r="F47" s="25"/>
    </row>
    <row r="48">
      <c r="A48" s="29"/>
      <c r="B48" s="29" t="inlineStr">
        <is>
          <t xml:space="preserve">Total sewa (belum termasuk PPN)</t>
        </is>
      </c>
      <c r="C48" s="29"/>
      <c r="D48" s="30">
        <f>D43+D44+D45</f>
        <v>1</v>
      </c>
      <c r="E48" s="31">
        <f>E43+E44+E45</f>
        <v>7020000000</v>
      </c>
      <c r="F48" s="29"/>
    </row>
    <row r="49" ht="8" customHeight="1"/>
    <row r="50">
      <c r="A50" s="32" t="inlineStr">
        <is>
          <t xml:space="preserve">Jaminan (dikembalikan sesuai ketentuan)</t>
        </is>
      </c>
      <c r="B50" s="32"/>
      <c r="C50" s="32"/>
      <c r="D50" s="32"/>
      <c r="E50" s="32"/>
      <c r="F50" s="32"/>
    </row>
    <row r="51" ht="30" customHeight="1">
      <c r="A51" s="20" t="inlineStr">
        <is>
          <t xml:space="preserve">No</t>
        </is>
      </c>
      <c r="B51" s="20" t="inlineStr">
        <is>
          <t xml:space="preserve">Jaminan</t>
        </is>
      </c>
      <c r="C51" s="20" t="inlineStr">
        <is>
          <t xml:space="preserve">Ketentuan</t>
        </is>
      </c>
      <c r="D51" s="20" t="inlineStr">
        <is>
          <t xml:space="preserve">Bulan</t>
        </is>
      </c>
      <c r="E51" s="20" t="inlineStr">
        <is>
          <t xml:space="preserve">Jumlah (Rp)</t>
        </is>
      </c>
      <c r="F51" s="20" t="inlineStr">
        <is>
          <t xml:space="preserve">Keterangan</t>
        </is>
      </c>
    </row>
    <row r="52">
      <c r="A52" s="21">
        <v>1</v>
      </c>
      <c r="B52" s="22" t="inlineStr">
        <is>
          <t xml:space="preserve">Security deposit</t>
        </is>
      </c>
      <c r="C52" s="22" t="inlineStr">
        <is>
          <t xml:space="preserve">Sejumlah bulan sewa</t>
        </is>
      </c>
      <c r="D52" s="33">
        <v>3</v>
      </c>
      <c r="E52" s="24">
        <f>D52*$C$35</f>
        <v>175500000</v>
      </c>
      <c r="F52" s="25" t="inlineStr">
        <is>
          <t xml:space="preserve">dikembalikan</t>
        </is>
      </c>
    </row>
    <row r="53">
      <c r="A53" s="21">
        <v>2</v>
      </c>
      <c r="B53" s="22" t="inlineStr">
        <is>
          <t xml:space="preserve">Uang jaminan pembangunan</t>
        </is>
      </c>
      <c r="C53" s="22" t="inlineStr">
        <is>
          <t xml:space="preserve">Nilai tetap</t>
        </is>
      </c>
      <c r="D53" s="22"/>
      <c r="E53" s="34">
        <v>20000000</v>
      </c>
      <c r="F53" s="25" t="inlineStr">
        <is>
          <t xml:space="preserve">dikembalikan</t>
        </is>
      </c>
    </row>
    <row r="54">
      <c r="A54" s="29"/>
      <c r="B54" s="29" t="inlineStr">
        <is>
          <t xml:space="preserve">Total jaminan</t>
        </is>
      </c>
      <c r="C54" s="29"/>
      <c r="D54" s="29"/>
      <c r="E54" s="31">
        <f>E52+E53</f>
        <v>195500000</v>
      </c>
      <c r="F54" s="29"/>
    </row>
    <row r="55" ht="8" customHeight="1"/>
    <row r="56" ht="20" customHeight="1">
      <c r="A56" s="6" t="inlineStr">
        <is>
          <t xml:space="preserve">E. JADWAL PEMBAYARAN</t>
        </is>
      </c>
      <c r="B56" s="6"/>
      <c r="C56" s="6"/>
      <c r="D56" s="6"/>
      <c r="E56" s="6"/>
      <c r="F56" s="6"/>
    </row>
    <row r="57" ht="30" customHeight="1">
      <c r="A57" s="20" t="inlineStr">
        <is>
          <t xml:space="preserve">No</t>
        </is>
      </c>
      <c r="B57" s="20" t="inlineStr">
        <is>
          <t xml:space="preserve">Uraian</t>
        </is>
      </c>
      <c r="C57" s="20" t="inlineStr">
        <is>
          <t xml:space="preserve">Jatuh tempo</t>
        </is>
      </c>
      <c r="D57" s="20"/>
      <c r="E57" s="20" t="inlineStr">
        <is>
          <t xml:space="preserve">Jumlah (Rp)</t>
        </is>
      </c>
      <c r="F57" s="20" t="inlineStr">
        <is>
          <t xml:space="preserve">Sisa kewajiban (Rp)</t>
        </is>
      </c>
    </row>
    <row r="58">
      <c r="A58" s="21">
        <v>1</v>
      </c>
      <c r="B58" s="22" t="inlineStr">
        <is>
          <t xml:space="preserve">Pembayaran 1</t>
        </is>
      </c>
      <c r="C58" s="22" t="inlineStr">
        <is>
          <t xml:space="preserve">Saat tanda tangan LOI</t>
        </is>
      </c>
      <c r="D58" s="22"/>
      <c r="E58" s="24">
        <f>E43</f>
        <v>702000000</v>
      </c>
      <c r="F58" s="24">
        <f>ROUND($E$48-E58,0)</f>
        <v>6318000000</v>
      </c>
    </row>
    <row r="59">
      <c r="A59" s="21">
        <v>2</v>
      </c>
      <c r="B59" s="22" t="inlineStr">
        <is>
          <t xml:space="preserve">Pembayaran 2</t>
        </is>
      </c>
      <c r="C59" s="22" t="inlineStr">
        <is>
          <t xml:space="preserve">30 hari setelah pembayaran 1</t>
        </is>
      </c>
      <c r="D59" s="22"/>
      <c r="E59" s="24">
        <f>E44</f>
        <v>702000000</v>
      </c>
      <c r="F59" s="24">
        <f>ROUND(F58-E59,0)</f>
        <v>5616000000</v>
      </c>
    </row>
    <row r="60">
      <c r="A60" s="21">
        <v>3</v>
      </c>
      <c r="B60" s="22" t="inlineStr">
        <is>
          <t xml:space="preserve">Cicilan ke-1</t>
        </is>
      </c>
      <c r="C60" s="22" t="inlineStr">
        <is>
          <t xml:space="preserve">Bulan ke-1 sejak buka / operasional</t>
        </is>
      </c>
      <c r="D60" s="22"/>
      <c r="E60" s="24">
        <f>$E$47</f>
        <v>117000000</v>
      </c>
      <c r="F60" s="24">
        <f>ROUND(F59-E60,0)</f>
        <v>5499000000</v>
      </c>
    </row>
    <row r="61">
      <c r="A61" s="21">
        <v>4</v>
      </c>
      <c r="B61" s="22" t="inlineStr">
        <is>
          <t xml:space="preserve">Cicilan ke-2</t>
        </is>
      </c>
      <c r="C61" s="22" t="inlineStr">
        <is>
          <t xml:space="preserve">Bulan ke-2 sejak buka / operasional</t>
        </is>
      </c>
      <c r="D61" s="22"/>
      <c r="E61" s="24">
        <f>$E$47</f>
        <v>117000000</v>
      </c>
      <c r="F61" s="24">
        <f>ROUND(F60-E61,0)</f>
        <v>5382000000</v>
      </c>
    </row>
    <row r="62">
      <c r="A62" s="21">
        <v>5</v>
      </c>
      <c r="B62" s="22" t="inlineStr">
        <is>
          <t xml:space="preserve">Cicilan ke-3</t>
        </is>
      </c>
      <c r="C62" s="22" t="inlineStr">
        <is>
          <t xml:space="preserve">Bulan ke-3 sejak buka / operasional</t>
        </is>
      </c>
      <c r="D62" s="22"/>
      <c r="E62" s="24">
        <f>$E$47</f>
        <v>117000000</v>
      </c>
      <c r="F62" s="24">
        <f>ROUND(F61-E62,0)</f>
        <v>5265000000</v>
      </c>
    </row>
    <row r="63">
      <c r="A63" s="21">
        <v>6</v>
      </c>
      <c r="B63" s="22" t="inlineStr">
        <is>
          <t xml:space="preserve">Cicilan ke-4</t>
        </is>
      </c>
      <c r="C63" s="22" t="inlineStr">
        <is>
          <t xml:space="preserve">Bulan ke-4 sejak buka / operasional</t>
        </is>
      </c>
      <c r="D63" s="22"/>
      <c r="E63" s="24">
        <f>$E$47</f>
        <v>117000000</v>
      </c>
      <c r="F63" s="24">
        <f>ROUND(F62-E63,0)</f>
        <v>5148000000</v>
      </c>
    </row>
    <row r="64">
      <c r="A64" s="21">
        <v>7</v>
      </c>
      <c r="B64" s="22" t="inlineStr">
        <is>
          <t xml:space="preserve">Cicilan ke-5</t>
        </is>
      </c>
      <c r="C64" s="22" t="inlineStr">
        <is>
          <t xml:space="preserve">Bulan ke-5 sejak buka / operasional</t>
        </is>
      </c>
      <c r="D64" s="22"/>
      <c r="E64" s="24">
        <f>$E$47</f>
        <v>117000000</v>
      </c>
      <c r="F64" s="24">
        <f>ROUND(F63-E64,0)</f>
        <v>5031000000</v>
      </c>
    </row>
    <row r="65">
      <c r="A65" s="21">
        <v>8</v>
      </c>
      <c r="B65" s="22" t="inlineStr">
        <is>
          <t xml:space="preserve">Cicilan ke-6</t>
        </is>
      </c>
      <c r="C65" s="22" t="inlineStr">
        <is>
          <t xml:space="preserve">Bulan ke-6 sejak buka / operasional</t>
        </is>
      </c>
      <c r="D65" s="22"/>
      <c r="E65" s="24">
        <f>$E$47</f>
        <v>117000000</v>
      </c>
      <c r="F65" s="24">
        <f>ROUND(F64-E65,0)</f>
        <v>4914000000</v>
      </c>
    </row>
    <row r="66">
      <c r="A66" s="21">
        <v>9</v>
      </c>
      <c r="B66" s="22" t="inlineStr">
        <is>
          <t xml:space="preserve">Cicilan ke-7</t>
        </is>
      </c>
      <c r="C66" s="22" t="inlineStr">
        <is>
          <t xml:space="preserve">Bulan ke-7 sejak buka / operasional</t>
        </is>
      </c>
      <c r="D66" s="22"/>
      <c r="E66" s="24">
        <f>$E$47</f>
        <v>117000000</v>
      </c>
      <c r="F66" s="24">
        <f>ROUND(F65-E66,0)</f>
        <v>4797000000</v>
      </c>
    </row>
    <row r="67">
      <c r="A67" s="21">
        <v>10</v>
      </c>
      <c r="B67" s="22" t="inlineStr">
        <is>
          <t xml:space="preserve">Cicilan ke-8</t>
        </is>
      </c>
      <c r="C67" s="22" t="inlineStr">
        <is>
          <t xml:space="preserve">Bulan ke-8 sejak buka / operasional</t>
        </is>
      </c>
      <c r="D67" s="22"/>
      <c r="E67" s="24">
        <f>$E$47</f>
        <v>117000000</v>
      </c>
      <c r="F67" s="24">
        <f>ROUND(F66-E67,0)</f>
        <v>4680000000</v>
      </c>
    </row>
    <row r="68">
      <c r="A68" s="21">
        <v>11</v>
      </c>
      <c r="B68" s="22" t="inlineStr">
        <is>
          <t xml:space="preserve">Cicilan ke-9</t>
        </is>
      </c>
      <c r="C68" s="22" t="inlineStr">
        <is>
          <t xml:space="preserve">Bulan ke-9 sejak buka / operasional</t>
        </is>
      </c>
      <c r="D68" s="22"/>
      <c r="E68" s="24">
        <f>$E$47</f>
        <v>117000000</v>
      </c>
      <c r="F68" s="24">
        <f>ROUND(F67-E68,0)</f>
        <v>4563000000</v>
      </c>
    </row>
    <row r="69">
      <c r="A69" s="21">
        <v>12</v>
      </c>
      <c r="B69" s="22" t="inlineStr">
        <is>
          <t xml:space="preserve">Cicilan ke-10</t>
        </is>
      </c>
      <c r="C69" s="22" t="inlineStr">
        <is>
          <t xml:space="preserve">Bulan ke-10 sejak buka / operasional</t>
        </is>
      </c>
      <c r="D69" s="22"/>
      <c r="E69" s="24">
        <f>$E$47</f>
        <v>117000000</v>
      </c>
      <c r="F69" s="24">
        <f>ROUND(F68-E69,0)</f>
        <v>4446000000</v>
      </c>
    </row>
    <row r="70">
      <c r="A70" s="21">
        <v>13</v>
      </c>
      <c r="B70" s="22" t="inlineStr">
        <is>
          <t xml:space="preserve">Cicilan ke-11</t>
        </is>
      </c>
      <c r="C70" s="22" t="inlineStr">
        <is>
          <t xml:space="preserve">Bulan ke-11 sejak buka / operasional</t>
        </is>
      </c>
      <c r="D70" s="22"/>
      <c r="E70" s="24">
        <f>$E$47</f>
        <v>117000000</v>
      </c>
      <c r="F70" s="24">
        <f>ROUND(F69-E70,0)</f>
        <v>4329000000</v>
      </c>
    </row>
    <row r="71">
      <c r="A71" s="21">
        <v>14</v>
      </c>
      <c r="B71" s="22" t="inlineStr">
        <is>
          <t xml:space="preserve">Cicilan ke-12</t>
        </is>
      </c>
      <c r="C71" s="22" t="inlineStr">
        <is>
          <t xml:space="preserve">Bulan ke-12 sejak buka / operasional</t>
        </is>
      </c>
      <c r="D71" s="22"/>
      <c r="E71" s="24">
        <f>$E$47</f>
        <v>117000000</v>
      </c>
      <c r="F71" s="24">
        <f>ROUND(F70-E71,0)</f>
        <v>4212000000</v>
      </c>
    </row>
    <row r="72">
      <c r="A72" s="21">
        <v>15</v>
      </c>
      <c r="B72" s="22" t="inlineStr">
        <is>
          <t xml:space="preserve">Cicilan ke-13</t>
        </is>
      </c>
      <c r="C72" s="22" t="inlineStr">
        <is>
          <t xml:space="preserve">Bulan ke-13 sejak buka / operasional</t>
        </is>
      </c>
      <c r="D72" s="22"/>
      <c r="E72" s="24">
        <f>$E$47</f>
        <v>117000000</v>
      </c>
      <c r="F72" s="24">
        <f>ROUND(F71-E72,0)</f>
        <v>4095000000</v>
      </c>
    </row>
    <row r="73">
      <c r="A73" s="21">
        <v>16</v>
      </c>
      <c r="B73" s="22" t="inlineStr">
        <is>
          <t xml:space="preserve">Cicilan ke-14</t>
        </is>
      </c>
      <c r="C73" s="22" t="inlineStr">
        <is>
          <t xml:space="preserve">Bulan ke-14 sejak buka / operasional</t>
        </is>
      </c>
      <c r="D73" s="22"/>
      <c r="E73" s="24">
        <f>$E$47</f>
        <v>117000000</v>
      </c>
      <c r="F73" s="24">
        <f>ROUND(F72-E73,0)</f>
        <v>3978000000</v>
      </c>
    </row>
    <row r="74">
      <c r="A74" s="21">
        <v>17</v>
      </c>
      <c r="B74" s="22" t="inlineStr">
        <is>
          <t xml:space="preserve">Cicilan ke-15</t>
        </is>
      </c>
      <c r="C74" s="22" t="inlineStr">
        <is>
          <t xml:space="preserve">Bulan ke-15 sejak buka / operasional</t>
        </is>
      </c>
      <c r="D74" s="22"/>
      <c r="E74" s="24">
        <f>$E$47</f>
        <v>117000000</v>
      </c>
      <c r="F74" s="24">
        <f>ROUND(F73-E74,0)</f>
        <v>3861000000</v>
      </c>
    </row>
    <row r="75">
      <c r="A75" s="21">
        <v>18</v>
      </c>
      <c r="B75" s="22" t="inlineStr">
        <is>
          <t xml:space="preserve">Cicilan ke-16</t>
        </is>
      </c>
      <c r="C75" s="22" t="inlineStr">
        <is>
          <t xml:space="preserve">Bulan ke-16 sejak buka / operasional</t>
        </is>
      </c>
      <c r="D75" s="22"/>
      <c r="E75" s="24">
        <f>$E$47</f>
        <v>117000000</v>
      </c>
      <c r="F75" s="24">
        <f>ROUND(F74-E75,0)</f>
        <v>3744000000</v>
      </c>
    </row>
    <row r="76">
      <c r="A76" s="21">
        <v>19</v>
      </c>
      <c r="B76" s="22" t="inlineStr">
        <is>
          <t xml:space="preserve">Cicilan ke-17</t>
        </is>
      </c>
      <c r="C76" s="22" t="inlineStr">
        <is>
          <t xml:space="preserve">Bulan ke-17 sejak buka / operasional</t>
        </is>
      </c>
      <c r="D76" s="22"/>
      <c r="E76" s="24">
        <f>$E$47</f>
        <v>117000000</v>
      </c>
      <c r="F76" s="24">
        <f>ROUND(F75-E76,0)</f>
        <v>3627000000</v>
      </c>
    </row>
    <row r="77">
      <c r="A77" s="21">
        <v>20</v>
      </c>
      <c r="B77" s="22" t="inlineStr">
        <is>
          <t xml:space="preserve">Cicilan ke-18</t>
        </is>
      </c>
      <c r="C77" s="22" t="inlineStr">
        <is>
          <t xml:space="preserve">Bulan ke-18 sejak buka / operasional</t>
        </is>
      </c>
      <c r="D77" s="22"/>
      <c r="E77" s="24">
        <f>$E$47</f>
        <v>117000000</v>
      </c>
      <c r="F77" s="24">
        <f>ROUND(F76-E77,0)</f>
        <v>3510000000</v>
      </c>
    </row>
    <row r="78">
      <c r="A78" s="21">
        <v>21</v>
      </c>
      <c r="B78" s="22" t="inlineStr">
        <is>
          <t xml:space="preserve">Cicilan ke-19</t>
        </is>
      </c>
      <c r="C78" s="22" t="inlineStr">
        <is>
          <t xml:space="preserve">Bulan ke-19 sejak buka / operasional</t>
        </is>
      </c>
      <c r="D78" s="22"/>
      <c r="E78" s="24">
        <f>$E$47</f>
        <v>117000000</v>
      </c>
      <c r="F78" s="24">
        <f>ROUND(F77-E78,0)</f>
        <v>3393000000</v>
      </c>
    </row>
    <row r="79">
      <c r="A79" s="21">
        <v>22</v>
      </c>
      <c r="B79" s="22" t="inlineStr">
        <is>
          <t xml:space="preserve">Cicilan ke-20</t>
        </is>
      </c>
      <c r="C79" s="22" t="inlineStr">
        <is>
          <t xml:space="preserve">Bulan ke-20 sejak buka / operasional</t>
        </is>
      </c>
      <c r="D79" s="22"/>
      <c r="E79" s="24">
        <f>$E$47</f>
        <v>117000000</v>
      </c>
      <c r="F79" s="24">
        <f>ROUND(F78-E79,0)</f>
        <v>3276000000</v>
      </c>
    </row>
    <row r="80">
      <c r="A80" s="21">
        <v>23</v>
      </c>
      <c r="B80" s="22" t="inlineStr">
        <is>
          <t xml:space="preserve">Cicilan ke-21</t>
        </is>
      </c>
      <c r="C80" s="22" t="inlineStr">
        <is>
          <t xml:space="preserve">Bulan ke-21 sejak buka / operasional</t>
        </is>
      </c>
      <c r="D80" s="22"/>
      <c r="E80" s="24">
        <f>$E$47</f>
        <v>117000000</v>
      </c>
      <c r="F80" s="24">
        <f>ROUND(F79-E80,0)</f>
        <v>3159000000</v>
      </c>
    </row>
    <row r="81">
      <c r="A81" s="21">
        <v>24</v>
      </c>
      <c r="B81" s="22" t="inlineStr">
        <is>
          <t xml:space="preserve">Cicilan ke-22</t>
        </is>
      </c>
      <c r="C81" s="22" t="inlineStr">
        <is>
          <t xml:space="preserve">Bulan ke-22 sejak buka / operasional</t>
        </is>
      </c>
      <c r="D81" s="22"/>
      <c r="E81" s="24">
        <f>$E$47</f>
        <v>117000000</v>
      </c>
      <c r="F81" s="24">
        <f>ROUND(F80-E81,0)</f>
        <v>3042000000</v>
      </c>
    </row>
    <row r="82">
      <c r="A82" s="21">
        <v>25</v>
      </c>
      <c r="B82" s="22" t="inlineStr">
        <is>
          <t xml:space="preserve">Cicilan ke-23</t>
        </is>
      </c>
      <c r="C82" s="22" t="inlineStr">
        <is>
          <t xml:space="preserve">Bulan ke-23 sejak buka / operasional</t>
        </is>
      </c>
      <c r="D82" s="22"/>
      <c r="E82" s="24">
        <f>$E$47</f>
        <v>117000000</v>
      </c>
      <c r="F82" s="24">
        <f>ROUND(F81-E82,0)</f>
        <v>2925000000</v>
      </c>
    </row>
    <row r="83">
      <c r="A83" s="21">
        <v>26</v>
      </c>
      <c r="B83" s="22" t="inlineStr">
        <is>
          <t xml:space="preserve">Cicilan ke-24</t>
        </is>
      </c>
      <c r="C83" s="22" t="inlineStr">
        <is>
          <t xml:space="preserve">Bulan ke-24 sejak buka / operasional</t>
        </is>
      </c>
      <c r="D83" s="22"/>
      <c r="E83" s="24">
        <f>$E$47</f>
        <v>117000000</v>
      </c>
      <c r="F83" s="24">
        <f>ROUND(F82-E83,0)</f>
        <v>2808000000</v>
      </c>
    </row>
    <row r="84">
      <c r="A84" s="21">
        <v>27</v>
      </c>
      <c r="B84" s="22" t="inlineStr">
        <is>
          <t xml:space="preserve">Cicilan ke-25</t>
        </is>
      </c>
      <c r="C84" s="22" t="inlineStr">
        <is>
          <t xml:space="preserve">Bulan ke-25 sejak buka / operasional</t>
        </is>
      </c>
      <c r="D84" s="22"/>
      <c r="E84" s="24">
        <f>$E$47</f>
        <v>117000000</v>
      </c>
      <c r="F84" s="24">
        <f>ROUND(F83-E84,0)</f>
        <v>2691000000</v>
      </c>
    </row>
    <row r="85">
      <c r="A85" s="21">
        <v>28</v>
      </c>
      <c r="B85" s="22" t="inlineStr">
        <is>
          <t xml:space="preserve">Cicilan ke-26</t>
        </is>
      </c>
      <c r="C85" s="22" t="inlineStr">
        <is>
          <t xml:space="preserve">Bulan ke-26 sejak buka / operasional</t>
        </is>
      </c>
      <c r="D85" s="22"/>
      <c r="E85" s="24">
        <f>$E$47</f>
        <v>117000000</v>
      </c>
      <c r="F85" s="24">
        <f>ROUND(F84-E85,0)</f>
        <v>2574000000</v>
      </c>
    </row>
    <row r="86">
      <c r="A86" s="21">
        <v>29</v>
      </c>
      <c r="B86" s="22" t="inlineStr">
        <is>
          <t xml:space="preserve">Cicilan ke-27</t>
        </is>
      </c>
      <c r="C86" s="22" t="inlineStr">
        <is>
          <t xml:space="preserve">Bulan ke-27 sejak buka / operasional</t>
        </is>
      </c>
      <c r="D86" s="22"/>
      <c r="E86" s="24">
        <f>$E$47</f>
        <v>117000000</v>
      </c>
      <c r="F86" s="24">
        <f>ROUND(F85-E86,0)</f>
        <v>2457000000</v>
      </c>
    </row>
    <row r="87">
      <c r="A87" s="21">
        <v>30</v>
      </c>
      <c r="B87" s="22" t="inlineStr">
        <is>
          <t xml:space="preserve">Cicilan ke-28</t>
        </is>
      </c>
      <c r="C87" s="22" t="inlineStr">
        <is>
          <t xml:space="preserve">Bulan ke-28 sejak buka / operasional</t>
        </is>
      </c>
      <c r="D87" s="22"/>
      <c r="E87" s="24">
        <f>$E$47</f>
        <v>117000000</v>
      </c>
      <c r="F87" s="24">
        <f>ROUND(F86-E87,0)</f>
        <v>2340000000</v>
      </c>
    </row>
    <row r="88">
      <c r="A88" s="21">
        <v>31</v>
      </c>
      <c r="B88" s="22" t="inlineStr">
        <is>
          <t xml:space="preserve">Cicilan ke-29</t>
        </is>
      </c>
      <c r="C88" s="22" t="inlineStr">
        <is>
          <t xml:space="preserve">Bulan ke-29 sejak buka / operasional</t>
        </is>
      </c>
      <c r="D88" s="22"/>
      <c r="E88" s="24">
        <f>$E$47</f>
        <v>117000000</v>
      </c>
      <c r="F88" s="24">
        <f>ROUND(F87-E88,0)</f>
        <v>2223000000</v>
      </c>
    </row>
    <row r="89">
      <c r="A89" s="21">
        <v>32</v>
      </c>
      <c r="B89" s="22" t="inlineStr">
        <is>
          <t xml:space="preserve">Cicilan ke-30</t>
        </is>
      </c>
      <c r="C89" s="22" t="inlineStr">
        <is>
          <t xml:space="preserve">Bulan ke-30 sejak buka / operasional</t>
        </is>
      </c>
      <c r="D89" s="22"/>
      <c r="E89" s="24">
        <f>$E$47</f>
        <v>117000000</v>
      </c>
      <c r="F89" s="24">
        <f>ROUND(F88-E89,0)</f>
        <v>2106000000</v>
      </c>
    </row>
    <row r="90">
      <c r="A90" s="21">
        <v>33</v>
      </c>
      <c r="B90" s="22" t="inlineStr">
        <is>
          <t xml:space="preserve">Cicilan ke-31</t>
        </is>
      </c>
      <c r="C90" s="22" t="inlineStr">
        <is>
          <t xml:space="preserve">Bulan ke-31 sejak buka / operasional</t>
        </is>
      </c>
      <c r="D90" s="22"/>
      <c r="E90" s="24">
        <f>$E$47</f>
        <v>117000000</v>
      </c>
      <c r="F90" s="24">
        <f>ROUND(F89-E90,0)</f>
        <v>1989000000</v>
      </c>
    </row>
    <row r="91">
      <c r="A91" s="21">
        <v>34</v>
      </c>
      <c r="B91" s="22" t="inlineStr">
        <is>
          <t xml:space="preserve">Cicilan ke-32</t>
        </is>
      </c>
      <c r="C91" s="22" t="inlineStr">
        <is>
          <t xml:space="preserve">Bulan ke-32 sejak buka / operasional</t>
        </is>
      </c>
      <c r="D91" s="22"/>
      <c r="E91" s="24">
        <f>$E$47</f>
        <v>117000000</v>
      </c>
      <c r="F91" s="24">
        <f>ROUND(F90-E91,0)</f>
        <v>1872000000</v>
      </c>
    </row>
    <row r="92">
      <c r="A92" s="21">
        <v>35</v>
      </c>
      <c r="B92" s="22" t="inlineStr">
        <is>
          <t xml:space="preserve">Cicilan ke-33</t>
        </is>
      </c>
      <c r="C92" s="22" t="inlineStr">
        <is>
          <t xml:space="preserve">Bulan ke-33 sejak buka / operasional</t>
        </is>
      </c>
      <c r="D92" s="22"/>
      <c r="E92" s="24">
        <f>$E$47</f>
        <v>117000000</v>
      </c>
      <c r="F92" s="24">
        <f>ROUND(F91-E92,0)</f>
        <v>1755000000</v>
      </c>
    </row>
    <row r="93">
      <c r="A93" s="21">
        <v>36</v>
      </c>
      <c r="B93" s="22" t="inlineStr">
        <is>
          <t xml:space="preserve">Cicilan ke-34</t>
        </is>
      </c>
      <c r="C93" s="22" t="inlineStr">
        <is>
          <t xml:space="preserve">Bulan ke-34 sejak buka / operasional</t>
        </is>
      </c>
      <c r="D93" s="22"/>
      <c r="E93" s="24">
        <f>$E$47</f>
        <v>117000000</v>
      </c>
      <c r="F93" s="24">
        <f>ROUND(F92-E93,0)</f>
        <v>1638000000</v>
      </c>
    </row>
    <row r="94">
      <c r="A94" s="21">
        <v>37</v>
      </c>
      <c r="B94" s="22" t="inlineStr">
        <is>
          <t xml:space="preserve">Cicilan ke-35</t>
        </is>
      </c>
      <c r="C94" s="22" t="inlineStr">
        <is>
          <t xml:space="preserve">Bulan ke-35 sejak buka / operasional</t>
        </is>
      </c>
      <c r="D94" s="22"/>
      <c r="E94" s="24">
        <f>$E$47</f>
        <v>117000000</v>
      </c>
      <c r="F94" s="24">
        <f>ROUND(F93-E94,0)</f>
        <v>1521000000</v>
      </c>
    </row>
    <row r="95">
      <c r="A95" s="21">
        <v>38</v>
      </c>
      <c r="B95" s="22" t="inlineStr">
        <is>
          <t xml:space="preserve">Cicilan ke-36</t>
        </is>
      </c>
      <c r="C95" s="22" t="inlineStr">
        <is>
          <t xml:space="preserve">Bulan ke-36 sejak buka / operasional</t>
        </is>
      </c>
      <c r="D95" s="22"/>
      <c r="E95" s="24">
        <f>$E$47</f>
        <v>117000000</v>
      </c>
      <c r="F95" s="24">
        <f>ROUND(F94-E95,0)</f>
        <v>1404000000</v>
      </c>
    </row>
    <row r="96">
      <c r="A96" s="21">
        <v>39</v>
      </c>
      <c r="B96" s="22" t="inlineStr">
        <is>
          <t xml:space="preserve">Cicilan ke-37</t>
        </is>
      </c>
      <c r="C96" s="22" t="inlineStr">
        <is>
          <t xml:space="preserve">Bulan ke-37 sejak buka / operasional</t>
        </is>
      </c>
      <c r="D96" s="22"/>
      <c r="E96" s="24">
        <f>$E$47</f>
        <v>117000000</v>
      </c>
      <c r="F96" s="24">
        <f>ROUND(F95-E96,0)</f>
        <v>1287000000</v>
      </c>
    </row>
    <row r="97">
      <c r="A97" s="21">
        <v>40</v>
      </c>
      <c r="B97" s="22" t="inlineStr">
        <is>
          <t xml:space="preserve">Cicilan ke-38</t>
        </is>
      </c>
      <c r="C97" s="22" t="inlineStr">
        <is>
          <t xml:space="preserve">Bulan ke-38 sejak buka / operasional</t>
        </is>
      </c>
      <c r="D97" s="22"/>
      <c r="E97" s="24">
        <f>$E$47</f>
        <v>117000000</v>
      </c>
      <c r="F97" s="24">
        <f>ROUND(F96-E97,0)</f>
        <v>1170000000</v>
      </c>
    </row>
    <row r="98">
      <c r="A98" s="21">
        <v>41</v>
      </c>
      <c r="B98" s="22" t="inlineStr">
        <is>
          <t xml:space="preserve">Cicilan ke-39</t>
        </is>
      </c>
      <c r="C98" s="22" t="inlineStr">
        <is>
          <t xml:space="preserve">Bulan ke-39 sejak buka / operasional</t>
        </is>
      </c>
      <c r="D98" s="22"/>
      <c r="E98" s="24">
        <f>$E$47</f>
        <v>117000000</v>
      </c>
      <c r="F98" s="24">
        <f>ROUND(F97-E98,0)</f>
        <v>1053000000</v>
      </c>
    </row>
    <row r="99">
      <c r="A99" s="21">
        <v>42</v>
      </c>
      <c r="B99" s="22" t="inlineStr">
        <is>
          <t xml:space="preserve">Cicilan ke-40</t>
        </is>
      </c>
      <c r="C99" s="22" t="inlineStr">
        <is>
          <t xml:space="preserve">Bulan ke-40 sejak buka / operasional</t>
        </is>
      </c>
      <c r="D99" s="22"/>
      <c r="E99" s="24">
        <f>$E$47</f>
        <v>117000000</v>
      </c>
      <c r="F99" s="24">
        <f>ROUND(F98-E99,0)</f>
        <v>936000000</v>
      </c>
    </row>
    <row r="100">
      <c r="A100" s="21">
        <v>43</v>
      </c>
      <c r="B100" s="22" t="inlineStr">
        <is>
          <t xml:space="preserve">Cicilan ke-41</t>
        </is>
      </c>
      <c r="C100" s="22" t="inlineStr">
        <is>
          <t xml:space="preserve">Bulan ke-41 sejak buka / operasional</t>
        </is>
      </c>
      <c r="D100" s="22"/>
      <c r="E100" s="24">
        <f>$E$47</f>
        <v>117000000</v>
      </c>
      <c r="F100" s="24">
        <f>ROUND(F99-E100,0)</f>
        <v>819000000</v>
      </c>
    </row>
    <row r="101">
      <c r="A101" s="21">
        <v>44</v>
      </c>
      <c r="B101" s="22" t="inlineStr">
        <is>
          <t xml:space="preserve">Cicilan ke-42</t>
        </is>
      </c>
      <c r="C101" s="22" t="inlineStr">
        <is>
          <t xml:space="preserve">Bulan ke-42 sejak buka / operasional</t>
        </is>
      </c>
      <c r="D101" s="22"/>
      <c r="E101" s="24">
        <f>$E$47</f>
        <v>117000000</v>
      </c>
      <c r="F101" s="24">
        <f>ROUND(F100-E101,0)</f>
        <v>702000000</v>
      </c>
    </row>
    <row r="102">
      <c r="A102" s="21">
        <v>45</v>
      </c>
      <c r="B102" s="22" t="inlineStr">
        <is>
          <t xml:space="preserve">Cicilan ke-43</t>
        </is>
      </c>
      <c r="C102" s="22" t="inlineStr">
        <is>
          <t xml:space="preserve">Bulan ke-43 sejak buka / operasional</t>
        </is>
      </c>
      <c r="D102" s="22"/>
      <c r="E102" s="24">
        <f>$E$47</f>
        <v>117000000</v>
      </c>
      <c r="F102" s="24">
        <f>ROUND(F101-E102,0)</f>
        <v>585000000</v>
      </c>
    </row>
    <row r="103">
      <c r="A103" s="21">
        <v>46</v>
      </c>
      <c r="B103" s="22" t="inlineStr">
        <is>
          <t xml:space="preserve">Cicilan ke-44</t>
        </is>
      </c>
      <c r="C103" s="22" t="inlineStr">
        <is>
          <t xml:space="preserve">Bulan ke-44 sejak buka / operasional</t>
        </is>
      </c>
      <c r="D103" s="22"/>
      <c r="E103" s="24">
        <f>$E$47</f>
        <v>117000000</v>
      </c>
      <c r="F103" s="24">
        <f>ROUND(F102-E103,0)</f>
        <v>468000000</v>
      </c>
    </row>
    <row r="104">
      <c r="A104" s="21">
        <v>47</v>
      </c>
      <c r="B104" s="22" t="inlineStr">
        <is>
          <t xml:space="preserve">Cicilan ke-45</t>
        </is>
      </c>
      <c r="C104" s="22" t="inlineStr">
        <is>
          <t xml:space="preserve">Bulan ke-45 sejak buka / operasional</t>
        </is>
      </c>
      <c r="D104" s="22"/>
      <c r="E104" s="24">
        <f>$E$47</f>
        <v>117000000</v>
      </c>
      <c r="F104" s="24">
        <f>ROUND(F103-E104,0)</f>
        <v>351000000</v>
      </c>
    </row>
    <row r="105">
      <c r="A105" s="21">
        <v>48</v>
      </c>
      <c r="B105" s="22" t="inlineStr">
        <is>
          <t xml:space="preserve">Cicilan ke-46</t>
        </is>
      </c>
      <c r="C105" s="22" t="inlineStr">
        <is>
          <t xml:space="preserve">Bulan ke-46 sejak buka / operasional</t>
        </is>
      </c>
      <c r="D105" s="22"/>
      <c r="E105" s="24">
        <f>$E$47</f>
        <v>117000000</v>
      </c>
      <c r="F105" s="24">
        <f>ROUND(F104-E105,0)</f>
        <v>234000000</v>
      </c>
    </row>
    <row r="106">
      <c r="A106" s="21">
        <v>49</v>
      </c>
      <c r="B106" s="22" t="inlineStr">
        <is>
          <t xml:space="preserve">Cicilan ke-47</t>
        </is>
      </c>
      <c r="C106" s="22" t="inlineStr">
        <is>
          <t xml:space="preserve">Bulan ke-47 sejak buka / operasional</t>
        </is>
      </c>
      <c r="D106" s="22"/>
      <c r="E106" s="24">
        <f>$E$47</f>
        <v>117000000</v>
      </c>
      <c r="F106" s="24">
        <f>ROUND(F105-E106,0)</f>
        <v>117000000</v>
      </c>
    </row>
    <row r="107">
      <c r="A107" s="21">
        <v>50</v>
      </c>
      <c r="B107" s="22" t="inlineStr">
        <is>
          <t xml:space="preserve">Cicilan ke-48</t>
        </is>
      </c>
      <c r="C107" s="22" t="inlineStr">
        <is>
          <t xml:space="preserve">Bulan ke-48 sejak buka / operasional</t>
        </is>
      </c>
      <c r="D107" s="22"/>
      <c r="E107" s="24">
        <f>$E$47</f>
        <v>117000000</v>
      </c>
      <c r="F107" s="24">
        <f>ROUND(F106-E107,0)</f>
        <v>0</v>
      </c>
    </row>
    <row r="108">
      <c r="A108" s="29"/>
      <c r="B108" s="29" t="inlineStr">
        <is>
          <t xml:space="preserve">Total</t>
        </is>
      </c>
      <c r="C108" s="29"/>
      <c r="D108" s="29"/>
      <c r="E108" s="31">
        <f>SUM(E58:E107)</f>
        <v>7020000000</v>
      </c>
      <c r="F108" s="29"/>
    </row>
    <row r="109" ht="10" customHeight="1"/>
    <row r="110" ht="14" customHeight="1">
      <c r="A110" s="35" t="inlineStr">
        <is>
          <t xml:space="preserve">Catatan:</t>
        </is>
      </c>
      <c r="B110" s="35"/>
      <c r="C110" s="35"/>
      <c r="D110" s="35"/>
      <c r="E110" s="35"/>
      <c r="F110" s="35"/>
    </row>
    <row r="111" ht="14" customHeight="1">
      <c r="A111" s="9" t="inlineStr">
        <is>
          <t xml:space="preserve">1. Seluruh nilai belum termasuk PPN.</t>
        </is>
      </c>
      <c r="B111" s="9"/>
      <c r="C111" s="9"/>
      <c r="D111" s="9"/>
      <c r="E111" s="9"/>
      <c r="F111" s="9"/>
    </row>
    <row r="112" ht="14" customHeight="1">
      <c r="A112" s="9" t="inlineStr">
        <is>
          <t xml:space="preserve">2. Security deposit dan uang jaminan pembangunan dikembalikan sesuai ketentuan. IPL ditagihkan terpisah dari nilai sewa.</t>
        </is>
      </c>
      <c r="B112" s="9"/>
      <c r="C112" s="9"/>
      <c r="D112" s="9"/>
      <c r="E112" s="9"/>
      <c r="F112" s="9"/>
    </row>
    <row r="113" ht="26" customHeight="1">
      <c r="A113" s="9" t="inlineStr">
        <is>
          <t xml:space="preserve">3. Sel berwarna kuning bisa diubah, nilai lain mengikuti rumus. Jumlah baris jadwal mengikuti jumlah cicilan saat file dibuat.</t>
        </is>
      </c>
      <c r="B113" s="9"/>
      <c r="C113" s="9"/>
      <c r="D113" s="9"/>
      <c r="E113" s="9"/>
      <c r="F113" s="9"/>
    </row>
    <row r="114" ht="14" customHeight="1">
      <c r="A114" s="9" t="inlineStr">
        <is>
          <t xml:space="preserve">4. Dokumen ini lembar perhitungan, bukan surat penawaran resmi atau perjanjian.</t>
        </is>
      </c>
      <c r="B114" s="9"/>
      <c r="C114" s="9"/>
      <c r="D114" s="9"/>
      <c r="E114" s="9"/>
      <c r="F114" s="9"/>
    </row>
    <row r="115" ht="14" customHeight="1">
      <c r="A115" s="9" t="inlineStr">
        <is>
          <t xml:space="preserve">Dibuat dengan MARKETHINGS · 5 Okt 2026</t>
        </is>
      </c>
      <c r="B115" s="9"/>
      <c r="C115" s="9"/>
      <c r="D115" s="9"/>
      <c r="E115" s="9"/>
      <c r="F115" s="9"/>
    </row>
  </sheetData>
  <mergeCells count="125">
    <mergeCell ref="A1:F1"/>
    <mergeCell ref="A2:F2"/>
    <mergeCell ref="A3:F3"/>
    <mergeCell ref="A5:F5"/>
    <mergeCell ref="A6:F6"/>
    <mergeCell ref="A8:F8"/>
    <mergeCell ref="A9:B9"/>
    <mergeCell ref="D9:F9"/>
    <mergeCell ref="A10:B10"/>
    <mergeCell ref="D10:F10"/>
    <mergeCell ref="A11:B11"/>
    <mergeCell ref="D11:F11"/>
    <mergeCell ref="A12:B12"/>
    <mergeCell ref="D12:F12"/>
    <mergeCell ref="A13:B13"/>
    <mergeCell ref="D13:F13"/>
    <mergeCell ref="A14:B14"/>
    <mergeCell ref="D14:F14"/>
    <mergeCell ref="A15:B15"/>
    <mergeCell ref="D15:F15"/>
    <mergeCell ref="A17:F17"/>
    <mergeCell ref="A18:B18"/>
    <mergeCell ref="D18:F18"/>
    <mergeCell ref="A19:B19"/>
    <mergeCell ref="D19:F19"/>
    <mergeCell ref="A20:B20"/>
    <mergeCell ref="D20:F20"/>
    <mergeCell ref="A21:B21"/>
    <mergeCell ref="D21:F21"/>
    <mergeCell ref="A22:B22"/>
    <mergeCell ref="D22:F22"/>
    <mergeCell ref="A23:B23"/>
    <mergeCell ref="D23:F23"/>
    <mergeCell ref="A24:B24"/>
    <mergeCell ref="D24:F24"/>
    <mergeCell ref="A25:B25"/>
    <mergeCell ref="D25:F25"/>
    <mergeCell ref="A26:B26"/>
    <mergeCell ref="D26:F26"/>
    <mergeCell ref="A27:B27"/>
    <mergeCell ref="D27:F27"/>
    <mergeCell ref="A28:B28"/>
    <mergeCell ref="D28:F28"/>
    <mergeCell ref="A30:F30"/>
    <mergeCell ref="A31:B31"/>
    <mergeCell ref="D31:F31"/>
    <mergeCell ref="A32:B32"/>
    <mergeCell ref="D32:F32"/>
    <mergeCell ref="A33:B33"/>
    <mergeCell ref="D33:F33"/>
    <mergeCell ref="A34:B34"/>
    <mergeCell ref="D34:F34"/>
    <mergeCell ref="A35:B35"/>
    <mergeCell ref="D35:F35"/>
    <mergeCell ref="A36:B36"/>
    <mergeCell ref="D36:F36"/>
    <mergeCell ref="A37:B37"/>
    <mergeCell ref="D37:F37"/>
    <mergeCell ref="A38:B38"/>
    <mergeCell ref="D38:F38"/>
    <mergeCell ref="A39:B39"/>
    <mergeCell ref="D39:F39"/>
    <mergeCell ref="A41:F41"/>
    <mergeCell ref="B48:C48"/>
    <mergeCell ref="A50:F50"/>
    <mergeCell ref="B54:C54"/>
    <mergeCell ref="A56:F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B108:D108"/>
    <mergeCell ref="A110:F110"/>
    <mergeCell ref="A111:F111"/>
    <mergeCell ref="A112:F112"/>
    <mergeCell ref="A113:F113"/>
    <mergeCell ref="A114:F114"/>
    <mergeCell ref="A115:F115"/>
  </mergeCells>
  <pageMargins left="0.5" right="0.5" top="0.6" bottom="0.6" header="0.3" footer="0.3"/>
  <pageSetup paperSize="9" orientation="portrait" fitToWidth="1" fitToHeight="0"/>
</worksheet>
</file>